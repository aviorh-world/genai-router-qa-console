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extended-properties+xml" PartName="/docProps/app.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תשובות_זהב_גרסה1" sheetId="1" r:id="rId4"/>
    <sheet state="visible" name="שאלות_תשובות_כל_התגובות" sheetId="2" r:id="rId5"/>
    <sheet state="visible" name="תשובות רונן AI" sheetId="3" r:id="rId6"/>
    <sheet state="visible" name="טבלת ציר 1" sheetId="4" r:id="rId7"/>
    <sheet state="visible" name="אנשי קשר" sheetId="5" r:id="rId8"/>
    <sheet state="visible" name="תגובות לטופס 10 עופר" sheetId="6" r:id="rId9"/>
    <sheet state="visible" name="תגובות לטופס 9 רוני" sheetId="7" r:id="rId10"/>
    <sheet state="visible" name="תגובות לטופס 8 מיכאל" sheetId="8" r:id="rId11"/>
    <sheet state="visible" name="תגובות לטופס 7 קורל" sheetId="9" r:id="rId12"/>
    <sheet state="visible" name="תגובות לטופס 6 תום" sheetId="10" r:id="rId13"/>
    <sheet state="visible" name="תגובות לטופס 5 ינון תתר" sheetId="11" r:id="rId14"/>
    <sheet state="visible" name="תגובות לטופס 4- צליל עמנואל סבר" sheetId="12" r:id="rId15"/>
    <sheet state="visible" name="תגובות לטופס 3- ניר" sheetId="13" r:id="rId16"/>
    <sheet state="visible" name="תגובות לטופס 2- לירן יהודאי" sheetId="14" r:id="rId17"/>
    <sheet state="visible" name="תגובות לטופס 1- בן לסנס" sheetId="15" r:id="rId18"/>
    <sheet state="visible" name="Questions" sheetId="16" r:id="rId19"/>
    <sheet state="visible" name="מסקנות" sheetId="17" r:id="rId20"/>
  </sheets>
  <definedNames>
    <definedName hidden="1" localSheetId="0" name="_xlnm._FilterDatabase">'תשובות_זהב_גרסה1'!$A$1:$BT$28</definedName>
    <definedName hidden="1" localSheetId="1" name="_xlnm._FilterDatabase">'שאלות_תשובות_כל_התגובות'!$A$1:$BO$51</definedName>
    <definedName hidden="1" localSheetId="3" name="_xlnm._FilterDatabase">'טבלת ציר 1'!$A$1:$D$28</definedName>
  </definedNames>
  <calcPr/>
  <pivotCaches>
    <pivotCache cacheId="0" r:id="rId21"/>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5">
      <text>
        <t xml:space="preserve">[Threaded comment]
Your version of Excel allows you to read this threaded comment; however, any edits to it will get removed if the file is opened in a newer version of Excel. Learn more: https://go.microsoft.com/fwlink/?linkid=870924
Comment:
    השאלה היתה על בית משותף והטבות</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1">
      <text>
        <t xml:space="preserve">[Threaded comment]
Your version of Excel allows you to read this threaded comment; however, any edits to it will get removed if the file is opened in a newer version of Excel. Learn more: https://go.microsoft.com/fwlink/?linkid=870924
Comment:
    השאלה היתה על בית משותף והטבות</t>
      </text>
    </comment>
  </commentList>
</comments>
</file>

<file path=xl/sharedStrings.xml><?xml version="1.0" encoding="utf-8"?>
<sst xmlns="http://schemas.openxmlformats.org/spreadsheetml/2006/main" count="1722" uniqueCount="428">
  <si>
    <t>ID</t>
  </si>
  <si>
    <t>מפקח</t>
  </si>
  <si>
    <t>שאלה</t>
  </si>
  <si>
    <t>תשובת זהב</t>
  </si>
  <si>
    <t>מקורות תשובת זהב</t>
  </si>
  <si>
    <t>חותמת זמן</t>
  </si>
  <si>
    <t>הערות claude</t>
  </si>
  <si>
    <t>ציון משוקלל עבור תשובת המודל  מתוך תשובת רכזים, כולל הערות</t>
  </si>
  <si>
    <t>תשובה של מיסויו און ליין</t>
  </si>
  <si>
    <t>מקורות של מיסוי און ליין</t>
  </si>
  <si>
    <t>תשובת המודל</t>
  </si>
  <si>
    <t>מקורות תשובת מודל</t>
  </si>
  <si>
    <t xml:space="preserve">האם התשובה נכונה? </t>
  </si>
  <si>
    <t xml:space="preserve">  עד כמה התשובה מדויקת?  </t>
  </si>
  <si>
    <t xml:space="preserve">  פירוט לגבי הדיוק  </t>
  </si>
  <si>
    <t xml:space="preserve">  עד כמה התשובה שלמה?  </t>
  </si>
  <si>
    <t>פירוט לגבי שלמות התשובה</t>
  </si>
  <si>
    <t xml:space="preserve">  עד כמה המסמכים שהמודל הביא רלוונטיים לשאלה?  </t>
  </si>
  <si>
    <t xml:space="preserve">  פירוט לגבי רלוונטיות המקורות  </t>
  </si>
  <si>
    <t xml:space="preserve">  רלוונטיות ובהירות התשובה  </t>
  </si>
  <si>
    <t xml:space="preserve">  פירוט לגבי רלוונטיות ובהירות  </t>
  </si>
  <si>
    <t xml:space="preserve">  עד כמה התשובה מאפשרת למפקח להסתמך עליה במינימום מאמץ?  </t>
  </si>
  <si>
    <t xml:space="preserve">  פירוט לגבי יעילות ויכולת הסתמכות  </t>
  </si>
  <si>
    <t xml:space="preserve">  הערות כלליות של הבודק  </t>
  </si>
  <si>
    <t>M02-Q01</t>
  </si>
  <si>
    <t>לירן יהודאי</t>
  </si>
  <si>
    <t>נאמנות שהוקמה לפני 2014, היוצר תושב חוץ בעת הקמת הנאמנות, הנהנים (או חלק מהם) תושבי ישראל, לפני שנת 2014 היוצר עלה לישראל וזכרי להטבות של תושב חוזר ותיק. האם הנאמנות זכאית להטבות של היוצר?</t>
  </si>
  <si>
    <t>כן, הנאמנות זכאית להטבות של היוצר. על פי הדין שחל עובר לתיקון 197 (לפני 1 בינואר 2014), כאשר נאמנות הפכה לנאמנות תושבי ישראל בשל עלייתו או חזרתו לישראל של יוצר בה שהיה "יחיד מוטב" (כגון תושב חוזר ותיק), חלו על הכנסת הנאמן ההקלות החלות על הכנסותיו של אותו יחיד מוטב, מכוח סעיפים 14 ו-97(ב) לפקודת מס הכנסה. תקופת ההטבות של הנאמנות הייתה זהה לתקופת ההטבות האישית של היוצר (חוזר מס הכנסה 3/2016 - סעיף 5.4 )
בנוסף, מגבלת הנהנים שהם תושבי ישראל (הדורשת שכל הנהנים יהיו תושבים זכאים או תושבי חוץ, בהתאם להגדרות סוגי הנאמנות בסימן ו'1 לפרק הרביעי לפקודה — סעיפים 75ג ואילך), אשר הוכנסה בתיקון 197 , אינה חלה מכוח הוראת המעבר על נאמנויות שהפכו לנאמנות תושבי ישראל בשל כך שיוצר אחד בהן היה לתושב ישראל לראשונה, לתושב חוזר ותיק או לתושב חוזר, לפני יום התחילה (1 בינואר 2014).</t>
  </si>
  <si>
    <t>187-חוזר מ.ה 3.16 - מיסוי נאמנויות.pdf
630-תוספת 1 להוב 1-2010 - נאמנויות - לאחר תיקונים- לפרסום3 3 2015 doc A.pdf</t>
  </si>
  <si>
    <t>תשובת זהב תוקנה בעזרת 
claude - הוסף מיקום של התשובה ותוקן תוספת תיקון 197 במקום 191</t>
  </si>
  <si>
    <t xml:space="preserve">ציון 9 -  אשמח להכוונה מדוייקת איפה למצוא את התשובה </t>
  </si>
  <si>
    <t>כן, הנאמנות זכאית להטבות של היוצר. על פי הדין שחל עובר לתיקון 197 (לפני 1 בינואר 2014), כאשר נאמנות הפכה לנאמנות תושבי ישראל בשל עלייתו או חזרתו לישראל של יוצר בה שהיה "יחיד מוטב" (כמו תושב חוזר ותיק), חלו על הכנסת הנאמן ההקלות החלות על הכנסותיו של אותו יחיד מוטב. תקופת ההטבות של הנאמנות הייתה זהה לתקופת ההטבות של היוצר. בנוסף, מגבלת הנהנים שהם תושבי ישראל (שדורשת שכל הנהנים יהיו תושבים זכאים או תושבי חוץ), אשר הוכנסה בתיקון 191, אינה חלה על נאמנויות שהפכו לנאמנות תושבי ישראל לאחר שיוצר אחד בה היה לתושב ישראל לראשונה, לתושב חוזר ותיק או לתושב חוזר, לפני יום התחילה (1 בינואר 2014).</t>
  </si>
  <si>
    <t>M02-Q02</t>
  </si>
  <si>
    <t>האם לקבוע מקדמה או ערובה, ומה שיעורה, בעסקת מכר מקרקעין של קבלן בונה? ציין סייגים/תנאים חשובים, מה יש לדרוש מהנישום, תוך ציטוט הוראת/הוראות הביצוע הרלוונטיות והפסקה/פסקאות הרלוונטיות.</t>
  </si>
  <si>
    <t xml:space="preserve">קביעת מקדמה או ערובה בעסקת מכר מקרקעין של קבלן בונה, ושיעורה, תלויים בסוג האישור המבוקש (כללי, לפרויקט, פרטני, או לפרויקט בליווי בנקאי סגור) ובמצב דיווח ההכנסות ותשלום המס.
**1. קביעת מקדמה או ערובה — לפי סוג האישור:**
- **אישור כללי** [הוראת ביצוע מס' 2/2010, סעיף 5.1]: האישור יותנה בערובה, למעט מקרים חריגים בשיקול דעת פקיד השומה.
- **אישור לפרויקט** [הוראת ביצוע מס' 2/2010, סעיף 5.2]:
  - אישור המוגבל לשנת מס אחת — לרוב לא יותנה בערובה, למעט מקרים חריגים בשיקול דעת פקיד השומה.
  - אישור לפרויקט לכל אורך חיי הפרויקט [הוראת ביצוע 8/2021, סעיף 5.2] — תידרש ערובה. כאשר אישור כזה נדרש בשנה שיש לדווח בה על הכנסה מהפרויקט (גם מהכנסות משנים קודמות) — יש לדרוש מהנישום תשלום מלוא המקדמה בשל חבות המס הצפויה מהמכירות שבוצעו עד למועד מתן האישור, ובנוסף לקבוע מקדמות שוטפות בגין המכירות הצפויות באותה שנה.
- **אישור פרטני** [הוראת ביצוע מס' 2/2010, סעיף 5.3; הוראת ביצוע 8/2021, סעיף 6]:
  - כאשר ההכנסה בגין היחידה כבר דווחה והמס שולם בגינה [סעיף 6.1] — לא תידרש ערובה.
  - כאשר ההכנסה טרם דווחה אך תתחייב במס בשנה שבה נדרש האישור [סעיף 6.2] — יש לדרוש מהמבקש תשלום מלוא המקדמה בשל חבות המס הנובעת מהמכירה.
- **אישור לפרויקט בליווי בנקאי (פיננסי) סגור** — ראו סעיף 5 להלן, המהווה מסלול נפרד וחלופי לדרישת הערובה.
**2. שיעור הערובה:**
- אישור לפרויקט [הוראת ביצוע 2/2010, סעיף 5.2]: 3% משווי מחזור המכירות המשוער של הפרויקט, לפני מע"מ.
- אישור לפרויקט לכל אורך חיי הפרויקט [הוראת ביצוע 8/2021, סעיף 5.2]: 1.5% משווי מחזור המכירות המשוער של הפרויקט לפני מע"מ (חברה); 3% אצל יחיד ו/או חברה משפחתית.
- אישור פרטני [הוראת ביצוע 8/2021, סעיף 6.3]: 3% ממחיר מכירת היחידה לפני מע"מ (חברה); 6% אצל יחיד ו/או חברה משפחתית.
**3. סייגים/תנאים חשובים:**
- **שיקול דעת פקיד השומה**: במקרים שבהם שוכנע פקיד השומה כי חבות המס הצפויה של הנישום (מהפרויקט או ממכירת היחידה) נמוכה מגובה הערובה הנגזרת מהכללים לעיל, תיקבע ערובה נמוכה יותר בהתאם לחבות המס הצפויה בפועל (למשל כאשר יש לנישום הפסדים צבורים או צפויים).
- **תוקף הערובה** [הוראת ביצוע 2/2010, סעיף 5.2]: הערובה תהא בתוקף לפחות 15 חודשים, ותחודש בהתאם לצורך. סוג הערובה: ערבות בנקאית אוטונומית או מזומן.
- **הצמדה וריבית** [הוראת ביצוע 2/2010, סעיף 5.2]: לסכום ערובה במזומן ייווספו הפרשי הצמדה וריבית לפי סעיף 159א(א) לפקודה, החל מיום תשלום הערובה.
**4. מה יש לדרוש מהנישום:**
- **תשלום מלוא המקדמה** — כאשר ההכנסה טרם דווחה אך תתחייב במס בשנת מתן האישור [הוראת ביצוע 2/2010, סעיפים 5.2–5.3; הוראת ביצוע 8/2021, סעיף 6.2].
- **קביעת מקדמות שוטפות** בגין מכירות עתידיות באותה שנה, בנוסף למקדמה על מכירות שבוצעו [הוראת ביצוע 2/2010, סעיף 5.2].
- **בדיקת דיווח על הפרויקט** — כשמדובר בקבלן שהקים את הפרויקט, יש לוודא שהוגש דיווח על הפרויקט למיסוי מקרקעין בטופס 701 [הוראת ביצוע 8/2021, סעיף 6].
**5. פרויקט בליווי בנקאי (פיננסי) סגור — מסלול חלופי לדרישת הערובה** [הוראת ביצוע 8/2021, סעיף 5.3]:
זהו מסלול נפרד מ"אישור לפרויקט לכל אורך חיי הפרויקט" הרגיל (סעיף 5.2), המיועד לפרויקטים המלווים על ידי תאגיד בנקאי/מבטח לפי הסכם "ליווי פיננסי" כהגדרתו בחוק המכר (דירות) (הבטחת השקעות של רוכשי דירות) [סעיף 5.3.1]. במסגרתו קיימות שלוש חלופות לדרישת הערובה [סעיף 5.3.3]:
- ערובה כספית/בנקאית באותם שיעורים כמו באישור לפרויקט לכל אורך חייו (1.5%–3%, לפי סוג הנישום); או
- המצאת כתב הוראות בלתי חוזרות של הנישום לתאגיד המלווה (במקום ערובה במזומן); או
- **פטור מוחלט מערובה** — כאשר לנישום קיים אישור שנתי כללי בשנת המס שבה מתבקש האישור לפרויקט בליווי הבנקאי, וכן בשלוש השנים שקדמו לה.
בנוסף, סעיף 5.3.4 עוסק בחובת הודעה על סיום/ביטול הליווי הבנקאי (בסיום בניית הפרויקט וקבלת טופס 4, לאחר קיום מלוא ההתחייבויות כולל פירעון האשראי), וסעיף 5.3.5 עוסק בניהול חשבון הליווי הבנקאי.
**הוראות הביצוע הרלוונטיות:**
- הוראת ביצוע מס' 2/2010 — אישורים לפי סעיף 50 לחוק מיסוי מקרקעין, הקפאות חוב מס שבח וערובות במתן טופס 50 (סעיפים 5.1, 5.2, 5.3).
- הוראת ביצוע מס הכנסה מס' 8/2021 — סוגי אישורים, ערובות והקפאות חוב מס שבח במתן אישור לפי סעיף 50 לחוק מיסוי מקרקעין (סעיף 5.2 — עדכון אישור לפרויקט לכל אורך חיי הפרויקט; סעיף 5.3 — אישור לפרויקט בליווי בנקאי סגור; סעיף 6 — אישור פרטני).
</t>
  </si>
  <si>
    <t>הקפאות חוב מס שבח, סוגי אישורים לפי סעיף 50 לחוק מיסוי מקרקעין, וערובות במתן טופס 50-02_2010.pdf
הוראת ביצוע מס הכנסה מספר 8_2021 בנושא_ סוגי אישורים, ערובות והקפאות חוב מס שבח במתן אישור לפי סעיף 50 לחוק מיסוי מקרקעי.pdf</t>
  </si>
  <si>
    <t>תשובת זהב תוקנה בעזרת 
claude : 
א) סידור הציטוטים כך שבכל סעיף ברור מיידית מאיזה הוראת ביצוע וממה סעיף נלקח כל פרט
הוסף סעיף 5
ב) הוסף סעיף חדש (5) על פרויקט בליווי בנקאי/פיננסי סגור</t>
  </si>
  <si>
    <t xml:space="preserve">ציון 9.3 - המלל קצת מסורבל וקשה להבין מה מהתשובה נלקח מאיזה מקור, ניתן היה להוסיף התייחסות לפרויקט בליווי פיננסי סגור </t>
  </si>
  <si>
    <t>בעסקת מכר מקרקעין של קבלן בונה, קביעת מקדמה או ערובה ושיעורן תלוי בסוג האישור המבוקש (כללי, לפרויקט או פרטני) ובמצב דיווח ההכנסות ותשלום המס:
**1. קביעת מקדמה או ערובה:**
*   **באופן כללי (הוראת ביצוע מס' 2/2010, סעיף 5.1):** אישור יותנה בערובה, למעט מקרים חריגים בשיקול דעת פקיד השומה.
*   **אישור פרטני (הוראת ביצוע מס' 2/2010, סעיף 5.3; הוראת ביצוע מס הכנסה מספר 8/2021, סעיף 6.1):**
    *   כאשר ההכנסה בגין היחידה דווחה והמס שולם בגינה – לא תידרש ערובה בעת מתן האישור.
    *   כאשר ההכנסה בגין היחידה טרם דווחה אך תתחייב במס הכנסה בשנה שבה נדרש האישור – יש לדרוש מהמבקש תשלום מלוא המקדמה בשל חבות המס הנובעת ממכירת היחידה.
*   **אישור לפרויקט (הוראת ביצוע מס' 2/2010, סעיף 5.2; הוראת ביצוע מס הכנסה מספר 8/2021, סעיף 'דרישת ערובה באישור לפרויקט לכל אורך חיי הפרויקט'):**
    *   אישור לפרויקט המוגבל לשנת מס אחת – לרוב לא יותנה בערובה, למעט מקרים חריגים בשיקול דעת פקיד השומה.
    *   אישור לפרויקט לכל אורך חיי הפרויקט – תידרש ערובה.
    *   כאשר נדרש אישור לפרויקט לכל אורך חיי הפרויקט בשנה בה יש לדווח על ההכנסה מהפרויקט (גם אלו שהיו בשנים קודמות) – יש לדרוש מהנישום תשלום מלוא המקדמה בשל חבות המס הצפויה מהמכירות שבוצעו עד ליום מתן האישור. בנוסף, יש לקבוע מקדמות שוטפות בגין המכירות שיהיו באותה שנה.
**2. שיעור הערובה:**
*   **אישור לפרויקט (הוראת ביצוע מס' 2/2010, סעיף 5.2):** 3% משווי מחזור המכירות המשוער של הפרויקט לפני מע"מ.
*   **אישור לפרויקט לכל אורך חיי הפרויקט (הוראת ביצוע מס הכנסה מספר 8/2021, סעיף 'דרישת ערובה באישור לפרויקט לכל אורך חיי הפרויקט'):** 1.5% משווי מחזור המכירות המשוער של הפרויקט לפני מע"מ. במקרה של יחיד ו/או חברה משפחתית, גובה הערובה הינו 3% ממחזור המכירות המשוער של הפרויקט לפני מע"מ.
*   **אישור פרטני (הוראת ביצוע מס' 2/2010, סעיף 5.3; הוראת ביצוע מס הכנסה מספר 8/2021, סעיף 6.3):** 3% ממחיר המכירה של היחידה לפני מע"מ. במקרה של יחיד ו/או חברה משפחתית, גובה הערובה הינו 6% ממחיר המכירה של היחידה לפני מע"מ.
**3. סייגים/תנאים חשובים:**
*   **שיקול דעת פקיד השומה:** במקרים בהם שוכנע פקיד השומה שחבות מס ההכנסה הצפויה של הנישום (מהפרויקט או ממכירת היחידה) נמוכה מגובה הערובה האמורה, תיקבע לנישום ערובה נמוכה יותר בהתאם לחבות המס הצפויה (למשל, כאשר קיימים הפסדים צבורים או צפויים לנישום).
*   **תוקף הערובה (הוראת ביצוע מס' 2/2010, סעיף 5.2):** הערובה תהא בתוקף לפחות 15 חודשים ותחודש בהתאם לצורך. סוג הערובה יכול להיות ערבות בנקאית אוטונומית או מזומן.
*   **הצמדה וריבית (הוראת ביצוע מס' 2/2010, סעיף 5.2):** לסכום ערובה במזומן ייווספו הפרשי הצמדה וריבית כאמור בסעיף 159א(א) החל מיום תשלום הערובה.
**4. מה יש לדרוש מהנישום:**
*   **תשלום מלוא המקדמה:** כאשר ההכנסה טרם דווחה אך תתחייב במס הכנסה בשנה שבה נדרש האישור, יש לדרוש מהנישום תשלום מלוא המקדמה בשל חבות המס הנובעת מהמכירה (הוראת ביצוע מס' 2/2010, סעיפים 5.2, 5.3; הוראת ביצוע מס הכנסה מספר 8/2021, סעיפים 6.2 ו'דרישת ערובה באישור לפרויקט לכל אורך חיי הפרויקט').
*   **קביעת מקדמות שוטפות:** בנוסף למקדמה על מכירות שבוצעו, יש לקבוע מקדמות שוטפות בגין המכירות שיהיו באותה שנה (הוראת ביצוע מס' 2/2010, סעיף 5.2; הוראת ביצוע מס הכנסה מספר 8/2021, סעיף 'דרישת ערובה באישור לפרויקט לכל אורך חיי הפרויקט').
*   **דיווח על הפרויקט:** במקרה שמדובר בנישום שהוא קבלן שהקים את הפרויקט, יש לבדוק שהוגש דיווח על הפרויקט למיסוי מקרקעין בטופס מספר 701 (הוראת ביצוע מס הכנסה מספר 8/2021, סעיף 6).
**הוראות הביצוע הרלוונטיות:**
*   הוראת ביצוע מס' 2/2010 - אישורים לפי סעיף 50 לחוק מיסוי מקרקעין, הקפאות חוב מס שבח וערובות במתן טופס 50 (סעיפים 5.1, 5.2, 5.3).
*   הוראת ביצוע מס הכנסה מספר 8/2021: סוגי אישורים, ערובות והקפאות חוב מס שבח במתן אישור לפי סעיף 50 לחוק מיסוי מקרקעין (סעיף 6 - אישור פרטני, וסעיף 'דרישת ערובה באישור לפרויקט לכל אורך חיי הפרויקט').</t>
  </si>
  <si>
    <t>M02-Q04</t>
  </si>
  <si>
    <t>עד איזה סכום פטור מניכוי מס במקור תשלום עבור שירותים שניתנו ובוצעו במלואם בחו"ל, לפי הכללים העדכניים?</t>
  </si>
  <si>
    <t>לפי הכללים העדכניים, תשלום עבור שירותים שניתנו ובוצעו במלואם בחו"ל, המשולם לתושב חוץ, פטור מניכוי מס במקור עד לסכום של 250,000 דולר לשנת מס לכל משלם. עדכון זה מחליף את הסכום הקודם שעמד על 60,000 דולר.
תנאי מרכזי לתחולת הפטור (כלשונו בהוראת הביצוע): המשלם הצהיר כי המקבל, או מי מטעמו, לא שהה בישראל לעניין ביצוע השירותים שבגינם שולם התשלום.</t>
  </si>
  <si>
    <t>תוספת מספר 1 להוראת ביצוע 34_93 – עדכון לעניין _חברות מיוחדות_ ניכוי מס במקור מתשלומים לתושבי חוץ.pdf
1993_הוראת ביצוע ניכויים 34 1993 ניכוי מס במקור לתושבי חוץ.docx - סעיף 3.9 - הסעיף שקבע לראשונה את מסלול הפטור ואת הסכום המקורי (60,000$), כחלק מרשימה כללית של תשלומים המותרים ללא ניכוי (חל על כלל נותני השירותים תושבי החוץ, לא רק "חברות מיוחדות").</t>
  </si>
  <si>
    <r>
      <rPr>
        <rFont val="Arial"/>
        <color rgb="FF006100"/>
        <sz val="11.0"/>
      </rPr>
      <t xml:space="preserve">יש לשמור בענן את קובץ 
</t>
    </r>
    <r>
      <rPr>
        <rFont val="Arial"/>
        <b/>
        <color rgb="FF006100"/>
        <sz val="11.0"/>
      </rPr>
      <t>הוראת ביצוע ניכויים 34 1993 ניכוי מס במקור לתושבי חוץ.docx</t>
    </r>
    <r>
      <rPr>
        <rFont val="Arial"/>
        <color rgb="FF006100"/>
        <sz val="11.0"/>
      </rPr>
      <t xml:space="preserve"> - סעיף 3.9 - הסעיף שקבע לראשונה את מסלול הפטור ואת הסכום המקורי (60,000$), כחלק מרשימה כללית של תשלומים המותרים ללא ניכוי (חל על כלל נותני השירותים תושבי החוץ, לא רק "חברות מיוחדות").</t>
    </r>
  </si>
  <si>
    <t>ציון 7 - ברשימת מקורות אין  מקור , אלא רק תיקונים/עדכונים</t>
  </si>
  <si>
    <t>לפי הכללים העדכניים, תשלום עבור שירותים שניתנו ובוצעו במלואם בחו"ל על ידי נותני שירותים בחו"ל פטור מניכוי מס במקור עד לסכום של 250,000 דולר לכל משלם. עדכון זה מחליף את הסכום הקודם שעמד על 60,000 דולר.</t>
  </si>
  <si>
    <t>תוספת מספר 1 להוראת ביצוע 34_93 – עדכון לעניין _חברות מיוחדות_ ניכוי מס במקור מתשלומים לתושבי חוץ.pdf</t>
  </si>
  <si>
    <t>M02-Q05</t>
  </si>
  <si>
    <t>נציגות בית משותף (ועד בית) התקינה מתקן פוטו-וולטאי ומוכרת חשמל. האם היא זכאית להטבות המס?</t>
  </si>
  <si>
    <t>כן, נציגות בית משותף (ועד בית) שהתקינה מתקן פוטו-וולטאי ומוכרת חשמל, זכאית להטבות מס. הזכאות אינה מוגבלת ליחיד פרטי בלבד — הוראת ביצוע מס הכנסה ומע"מ 7/2019 קובעת במפורש, במסגרת הגדרת "צרכן ביתי" (התנאי הבסיסי לזכאות), כי הגורם הזכאי הוא "יחיד או נציגות הבית המשותף" המחויבים בתעריף ביתי — כלומר נציגות הבית המשותף מוכרת בהוראת הביצוע עצמה כאחד משני סוגי הנישומים הזכאים, במקביל ליחיד, ולא רק כמי שההטבה "עשויה לחול עליה" בעקיפין.
היא יכולה לבחור בין פטור מלא ממס על הכנסה ממכירת חשמל עד לתקרה מסוימת, לבין מס מופחת בשיעור 10% מהשקל הראשון. בנוסף, היא עשויה להיות פטורה מניהול פנקסי חשבונות, מהגשת דין וחשבון, ולקבל הקלות לעניין חוק מע"מ. הזכאות כפופה לעמידה בתנאים והגבלות נוספים המפורטים בהוראת הביצוע, כגון היותה "צרכן ביתי", מכירת החשמל לספק שירות חיוני, ושההכנסה אינה נחשבת כהכנסה מעסק או משלח יד.</t>
  </si>
  <si>
    <t>הוראת ביצוע מס הכנסה ומע_מ מספר 7_2019 בנושא_ חוק לעידוד השקעה באנרגיות מתחדשות (הטבות מס בשל הפקת חשמל מאנרגיה מתחדשת),.pdf
445-טיוטת חוזר חוק לעידוד אנרגיה מתחדשת 22.07.2019 (002) מונגש.pdf</t>
  </si>
  <si>
    <t>תשובת זהב תוקנה בעזרת 
claude : 
א) הוסף משפט על פטור  ליחיד או לנציגות המס המשותף</t>
  </si>
  <si>
    <t>ציון 9 -הייתי רוצה הפניה מדויקת לכך שהפטור הוא ליחיד או לנציגות המס המשותף</t>
  </si>
  <si>
    <t>כן, נציגות בית משותף (ועד בית) שהתקינה מתקן פוטו-וולטאי ומוכרת חשמל, זכאית להטבות מס. היא יכולה לבחור בין פטור מלא ממס על הכנסה ממכירת חשמל עד לתקרה מסוימת, לבין מס מופחת בשיעור 10% מהשקל הראשון. בנוסף, היא עשויה להיות פטורה מניהול פנקסי חשבונות, מהגשת דין וחשבון, ולקבל הקלות לעניין חוק מע"מ. הזכאות כפופה לעמידה בתנאים והגבלות נוספים המפורטים בחוק, כגון היותה 'צרכן ביתי', מכירת החשמל לספק שירות חיוני, ושההכנסה אינה נחשבת כהכנסה מעסק או משלח יד.</t>
  </si>
  <si>
    <t>M03-Q01</t>
  </si>
  <si>
    <r>
      <rPr>
        <rFont val="Arial"/>
        <color/>
        <sz val="10.0"/>
      </rPr>
      <t xml:space="preserve">ניר,
</t>
    </r>
    <r>
      <rPr>
        <rFont val="Arial"/>
        <b/>
        <color/>
        <sz val="10.0"/>
      </rPr>
      <t>תשובה נכונה-  מיסוי AI (הוצאות רונן)</t>
    </r>
    <r>
      <rPr>
        <rFont val="Arial"/>
        <color/>
        <sz val="10.0"/>
      </rPr>
      <t xml:space="preserve"> + תוספת של CLAUDE</t>
    </r>
  </si>
  <si>
    <t>אילו טפסים ומידע על קבלן להמציא על מנת להפחית ערובה בגין פרויקט בניה?</t>
  </si>
  <si>
    <t>כדי לבקש הפחתת ערובה בפרויקט בנייה, יש להגיש לפקיד השומה בקשה בצירוף דו"ח אפס מעודכן ומידע מלא על הקבלן והפרויקט.
בפרויקטים בליווי בנקאי [הוראת ביצוע 8/2021, סעיף 5.3]:
שלב האישור הראשוני לפרויקט בליווי בנקאי נעשה על גבי טופס 7017א [סעיף 5.3.2], הכולל את פרטי הנישום, מספר התיק, ספר הבניין, שם הפרויקט, גוש וחלקה, מועדי סיום הבנייה והליווי, ושם הבנק המלווה, בצירוף דו"ח "אפס" שהוגש לתאגיד המלווה.
שלב הפחתת הערובה עצמה (לאחר שכבר ניתן אישור) נעשה בנפרד, באמצעות טופס 7503, שמטרתו הקטנת "הסכום הקובע" [סעיף 5.3.3.2] — ולצדו יש להגיש דו"ח אפס מעודכן המוכיח ירידה צפויה בחבות המס/ברווחיות הפרויקט. זהו הכלי הספציפי להפחתת ערובה, להבדיל מטופס 7017א שמשמש לבקשת האישור הראשוני.
כתב ההוראות הבלתי חוזרות לבנק מומצא באמצעות טופס 7501, ואישור הבנק על קבלתן באמצעות טופס 7502 [סעיף 5.3.3.2]. בסיום הליווי יש להמציא את דו"ח האפס האחרון של המפקח מטעם הבנק ואת טופס 702 [סעיף 5.3.3.2].
לגבי הקבלן, יש לרכז [הוראת ביצוע 8/2021 והוראת ביצוע 2/2010]: אישור שהוא קבלן רשום; מחזור פעילות הבנייה; קיום חובות ניכויים או שומות; פסילת ספרים; הליכי פירוק או כינוס; תיקי חקר; תשלום מקדמות; עמידה בערבויות; פעילות ודיווח כקבלן; והגשת טופס 701 למיסוי מקרקעין.
הפחתת הערובה תישקל כאשר דו"ח האפס המעודכן מצביע על ירידה בחבות המס הצפויה, למשל בשל שינוי בתחזית הפרויקט או הפסדים צבורים/צפויים [הוראת ביצוע 8/2021, סעיף 5.3.3.2].</t>
  </si>
  <si>
    <t xml:space="preserve">הוראת ביצוע מס הכנסה מספר 8_2021 בנושא_ סוגי אישורים, ערובות והקפאות חוב מס שבח במתן אישור לפי סעיף 50 לחוק מיסוי מקרקעי.pdf
397-סוגי אישורים ערובות והקפאות חוב מס שבח במתן אישור לפי סעיף 50 לחוק מיסוי מקרקעין.pdf
עדכון להוראת ביצוע 2/2010 - אישור לפרויקט (הו"ב 1-2/2010)
</t>
  </si>
  <si>
    <t>תשובת זהב נקחה ממיסוי און ליין ותוקנה ע"י CLAUDE:
א) הוספו מספרי סעיפים ממקורות
ב) סידור של שלב הפחתת הערובה עצמה</t>
  </si>
  <si>
    <t>ציון 1 - מודל התבלבל בין הטפסים הנדרשים לאישור הפרויקט בתחילתו לבין שלב הפחתת הערובה, והיה צריך לכתוב כי לפי הוראת ביצוע 8/2021 יש להגיש טופס 7503 בליווי דוח אפס מעודכן המוכיח את הירידה הצפויה ברווחיות.</t>
  </si>
  <si>
    <t>על מנת להפחית ערובה בגין פרויקט בנייה, יש להמציא מידע שישכנע את פקיד השומה כי חבות מס ההכנסה הצפויה של הנישום מהפרויקט נמוכה מגובה הערובה הסטנדרטית. מידע זה יכול לכלול, לדוגמה, נתונים על הפסדים צבורים או צפויים לנישום.
באשר לטפסים ומידע על הקבלן, אלו נדרשים במסגרת הבקשה לאישור הפרויקט, שבמסגרתה נקבעת הערובה:
1.  **טפסים:**
    *   טופס 7017 - "בקשה לאישור לפי סעיף 50 לחוק מיסוי מקרקעין - אישור לפרויקט לכל אורך חיי הפרויקט" (Chunk 1).
    *   טופס 7017א - "בקשה לאישור לפי סעיף 50 לחוק מיסוי מקרקעין - אישור לפרויקט בליווי בנקאי", בצירוף "דו"ח אפס" שהוגש לתאגיד המלווה לצורך קבלת הליווי הבנקאי בפרויקט (Chunk 4).
    *   טופס 5340 - לבקשה רגילה לאישור ספציפי לפי סעיף 50 לחוק, במקרים בהם לא התקבל אישור שנתי כללי או אישור לפרויקט (Chunk 2).
2.  **מידע על הקבלן:**
    *   הוכחה שהנישום הוא קבלן רשום ברשם הקבלנים (Chunk 1, 6).
    *   במקרה שהנישום אינו קבלן רשום, עליו לצרף רישיון בר תוקף של קבלן הביצוע הראשי בגין הפרויקט הספציפי (Chunk 1, 4).
    *   סיווג קבלני במשרד השיכון (לפחות ג2) יכול להיות רלוונטי לתנאי מתן הערובה (Chunk 2, 5).</t>
  </si>
  <si>
    <t>הוראת ביצוע מס הכנסה מספר 8_2021 בנושא_ סוגי אישורים, ערובות והקפאות חוב מס שבח במתן אישור לפי סעיף 50 לחוק מיסוי מקרקעי.pdf
397-סוגי אישורים ערובות והקפאות חוב מס שבח במתן אישור לפי סעיף 50 לחוק מיסוי מקרקעין.pdf
אישורים כלליים לפי סעיף ‎50 לחוק מיסוי מקרקעין -דירות מגורים (תוספת להוראות ביצוע ‎83_85 ו - ‎90_17)- 14_2003.pdf
הקפאות חוב מס שבח, סוגי אישורים לפי סעיף 50 לחוק מיסוי מקרקעין, וערובות במתן טופס 50-02_2010.pdf</t>
  </si>
  <si>
    <t>M03-Q02</t>
  </si>
  <si>
    <r>
      <rPr>
        <rFont val="Arial"/>
        <color/>
        <sz val="10.0"/>
      </rPr>
      <t xml:space="preserve">ניר
</t>
    </r>
    <r>
      <rPr>
        <rFont val="Arial"/>
        <b/>
        <color/>
        <sz val="10.0"/>
      </rPr>
      <t>תשובה נכונה-  מיסוי AI (הוצאות רונן)</t>
    </r>
  </si>
  <si>
    <t>כאשר חוות הדעת חלקה אך מפנה לביאור שמלמד שחלקים גדולים מהדוח לא בוקרו האם מדובר בדוח סתמי  היינו הנמקה 77</t>
  </si>
  <si>
    <t>לא ניתן לפסול את הדוח באופן אוטומטי כ"דוח סתמי" (הנמקה 77) רק בגלל שהביאור מלמד שחלקים גדולים לא בוקרו. זהו בדיוק המקרה שהוראת ביצוע 4/2018 מגדירה כ"תחום אפור" ומחייבת טיפול מסודר לפני כל החלטה.
מסגרת הבדיקה (הוראת ביצוע 4/2018):
הפניית תשומת לב — אינה משנה את חוות הדעת, שנותרת בלתי מסויגת.
חוות דעת מסויגת — יש הגבלה מהותית, אך לא כזו המונעת חוות דעת על הדוחות בכללותם.
הימנעות מחוות דעת — ההגבלה מהותית עד כדי כך שהמבקר אינו יכול לחוות דעה כלל.
כאשר ביאור מלמד על חלקים גדולים שלא בוקרו, ההסתייגות עשויה להיות "רחבה" עד כדי כך שהדוח הכספי אינו יכול לשמש "אבן פינה" לטיפול השומתי — ולפי סעיף 3.2.2 להוראה, במקרה כזה על פקיד השומה לפנות לחטיבה המקצועית לצורך התייעצות, ולא להחליט לבדו.
בנוסף, לפני כל החלטה, פקיד השומה רשאי (סעיף 3.2.4.5) לדרוש בכתב מרואה החשבון המבקר דוח על היקף הביקורת שביצע — כלומר לברר ישירות מולו מה בדיוק לא בוקר ומדוע, ולא להסתפק בניסוח הביאור בלבד.
מסקנה: תרחיש כזה אינו "לא בהכרח" סתמי ואינו "בהכרח" סתמי — הוא בדיוק המקרה שההוראה מייעדת להתייעצות עם החטיבה המקצועית ולדרישת הבהרות מרואה החשבון לפני כל קביעה. פסילה כ"דוח סתמי" לפי הנמקה 77 אפשרית רק לאחר שני הצעדים הללו, לא לפניהם.</t>
  </si>
  <si>
    <t>הוראת ביצוע מס הכנסה מספר 4_2018 – רשות המסים בנושא_ דוחות חבר בני אדם שהוגשו ללא חוות דעת או עם חוות דעת הסוטה מהנוסח ה.pdf
ניתוב שלב א ושינויים בשידור דוחות ושומות יחידים וחברות לשנת המס 2024 (הו"ב מ"ה 7/25)</t>
  </si>
  <si>
    <t>תשובת זהב נקחה ממיסוי און ליין ותוקנה ע"י CLAUDE:
א) היותר קצרה
ב) הוספה של תוספות:
"לפי סעיף 3.2.2 להוראה, במקרה כזה על פקיד השומה לפנות לחטיבה המקצועית לצורך התייעצות, ולא להחליט לבדו."
" לפני כל החלטה, פקיד השומה רשאי (סעיף 3.2.4.5) לדרוש בכתב מרואה החשבון המבקר דוח על היקף הביקורת שביצע."</t>
  </si>
  <si>
    <t>ציון 5 - מודל נתן תשובה לא מלאה. התשובה : הדוח אכן פגום מהותית ומועמד לפסילה כ'דוח סתמי' (הנמקה 77). עם זאת, מאחר שמדובר במקרה של 'תחום אפור' (כפי שעולה מהוראת ביצוע 4/2018), פקיד השומה אינו רשאי לפסול אותו באופן אוטומטי; טרם הפסילה, עליו לדרוש תחילה הבהרות מרואה החשבון המייצג ולהתייעץ עם החטיבה המקצועית.</t>
  </si>
  <si>
    <t>כן, סביר להניח שדוח כזה ייחשב כ'דוח סתמי' המצדיק את הנמקה 77. 'הנמקה 77' מתייחסת לעיכוב החזר מס עקב הגשת 'דוח סתמי'. 'חוות דעת חלקה' ניתנת כאשר רואה החשבון המבקר סבור שהדוחות הכספיים משקפים באופן נאות את מצב החברה, וזאת לאחר שביצע ביקורת מספקת. כאשר חוות הדעת מפנה לביאור המלמד ש'חלקים גדולים מהדוח לא בוקרו', מדובר ב'הגבלה בביקורת' משמעותית. הגבלה כזו אינה מאפשרת מתן חוות דעת חלקה, אלא מחייבת מתן 'חוות דעת מסויגת' או אף 'הימנעות מחוות דעת', בהתאם למהותיות ההגבלה. דוח המציג חוות דעת חלקה אך סותר אותה בביאור לגבי היקף הביקורת, הוא דוח פגום מיסודו שאינו מספק את הביטחון הנדרש, ולכן יכול להיחשב כ'דוח סתמי'.</t>
  </si>
  <si>
    <t>הוראת ביצוע מס הכנסה מספר 4_2018 – רשות המסים בנושא_ דוחות חבר בני אדם שהוגשו ללא חוות דעת או עם חוות דעת הסוטה מהנוסח ה.pdf
493-הוראת ביצוע 4.2018 בנושא דוחות חבר בני אדם שהוגשו ללא חוות דעת או עם חוות דעת הסוטה מהנוסח האחיד (חוות דעת לא חלקה).pdf
32-ה.ב 5.2024 ניתוב שלב א לשנת 20230.pdf
488-הוראת ביצוע מס הכנסה מספר 5.2021 רשות המסים.pdf</t>
  </si>
  <si>
    <t>M03-Q03</t>
  </si>
  <si>
    <r>
      <rPr>
        <rFont val="Arial"/>
        <color/>
        <sz val="10.0"/>
      </rPr>
      <t xml:space="preserve">ניר
</t>
    </r>
    <r>
      <rPr>
        <rFont val="Arial"/>
        <b/>
        <color/>
        <sz val="10.0"/>
      </rPr>
      <t>תשובה נכונה-  מיסוי AI (הוצאות רונן)</t>
    </r>
  </si>
  <si>
    <t>לגבי התרת הוצאות מימון כאשר קיים במאזן הנישום נכס לא מניב - מהם כלל המס ותנאי הסף, שיעור ההוצאה ואופן החישוב, נטל ההוכחה ודרישות התיעוד מהנישום? הצג ניתוח משולב של סעיפי הפקודה, התקנות, הוראות הביצוע והפסיקה הרלוונטיים, וגבש מסקנה.</t>
  </si>
  <si>
    <t xml:space="preserve">תשובה (על בסיס הוראות ביצוע וחוזרים בלבד):
1. כלל המס והעוגן המשפטי
הוצאות מימון (ריבית) מותרות בניכוי רק אם ההון שנלווה שימש בייצור הכנסה. זהו הבסיס לפי סעיף 17(1) לפקודה, כפי שמאושר במפורש בחוזר מ.ה. 5/86 (סעיף 3(2), "סעיף 17 – הגבלת ניכוי הוצאות ריבית"): "הכללים לזיהוי ריבית המותרת בניכוי לפי סעיף 17(1) לפקודה, בהיותה ריבית על הון ששימש בייצור הכנסה... יפורטו בהוראת ביצוע שתופץ בעתיד הקרוב" — וזוהי הוראת ביצוע 36/92, שמיישמת בפועל את הכלל: כאשר כספי העסק שימשו לרכישת נכס שאינו משמש בייצור הכנסה, יש לייחס לנכס זה את הוצאות המימון המתאימות, ואלה אינן מותרות בניכוי.
2. תנאי הסף
התנאי המרכזי: ההון שנלווה שימש בייצור הכנסה. כאשר הנכס נרכש כהשקעה, אינו משמש בייצור הכנסה, אינו מניב בתקופה הרלוונטית, או קשור למשיכה/שימוש פרטי — הוצאות המימון המיוחסות אליו אינן מותרות. היתרה שאינה מיוחסת לנכס הלא-מניב עשויה להיות מיוחסת לנכסים קבועים מניבים ולמלאי, לפי הכללים בהוראת ביצוע 36/92.
3. אופן הייחוס והחישוב
לפי הוראת ביצוע 36/92:
הוצאות המימון המיוחסות לנכס הלא-מניב — אינן מותרות בניכוי.
יתרת הריבית מיוחסת תחילה לנכסים קבועים המשמשים בייצור הכנסה.
מתוכה מוכר שיעור מסוים כהוצאה, והיתרה מיוחסת למלאי.
הסתייגות חשובה: השיעורים שאותרו (20%, או 30% בשנת המס 1986) הם נתונים היסטוריים. חוזר 5/86 עצמו מנסח את ההפניה לסעיף 17(1) כחלה "לגבי נישומים שחל לגביהם פרק ג' לחוק [התיאומים]" — כלומר המנגנון החישובי הספציפי (האחוזים, סדר הייחוס למלאי) נבנה במקור עבור אוכלוסיית נישומי חוק התיאומים. העיקרון הכללי (17(1)) עומד בפני עצמו, אך אין לאמץ את המנגנון המספרי המדויק כשיעור עדכני להיום בלי אימות נוסף.
4. נטל ההוכחה
על הנישום להוכיח: מקור המימון; לאיזה שימוש הופנו כספי ההלוואה בפועל; איזה חלק שימש לרכישת הנכס הלא-מניב; איזה חלק שימש בנכסים מניבים/בפעילות עסקית; וכיצד חושב הייחוס. עצם רישום ההלוואה בספרים או הופעת הנכס במאזן אינם מספיקים — יש לבצע ייחוס לפי השימוש בפועל.
5. דרישות תיעוד
רישום הנכס בספרי החשבונות; תיעוד מקור ההלוואה ותנועת כספיה; הפרדה מתועדת בין כספים שהופנו לנכס הלא-מניב לבין כספים שהופנו לפעילות מניבה; מסמכי מימון ורישומים חשבונאיים המאפשרים את הייחוס.
מסקנה
הוצאות מימון המיוחסות לנכס שאינו משמש בייצור הכנסה אינן מותרות בניכוי, מכוח סעיף 17(1) לפקודה (חוזר 5/86) וכפי שמיושם בהוראת ביצוע 36/92: יש לנטרל תחילה את החלק המיוחס לנכס הלא-מניב, ולאחר מכן לייחס את היתרה לנכסים מניבים ולמלאי, בכפוף להסתייגות על עדכניות המנגנון המספרי.
מקור: חוזר מ.ה. 5/86 (הבהרות לחוק מס הכנסה (תיאומים בשל אינפלציה)), סעיף 3(2); הוראת ביצוע מס הכנסה 36/92.
</t>
  </si>
  <si>
    <t xml:space="preserve">יישום הוראות חוק התיאומים בשנת המס 2000 - הוראת ביצוע מס_ 18_2001.pdf
1986_הבהרות לחוק מס הכנסה תיאומים בשל אינפלציה חוזה מה 5 86.docx
ה"ב 1 36/92 9.7.92 — יחוס הוצאות מימון להשקעה שאינה משמשת בייצור הכנסה או לרכוש קבוע. הפעלת סעיף 2. הפעלת סעיף 3(ט) בעקבות חוק התיאומים
</t>
  </si>
  <si>
    <t>תשובת זהב נקחה ממיסוי און ליין ותוקנה ע"י CLAUDE:
(1) ריכוז כלל אי-ההכרה בהוצאות המימון בסעיף 17(1) לפקודה (דרך חוזר 5/86), במקום להישען על הוראת ביצוע 36/92 כמקור עצמאי בלבד; 
(2) הסרת ההסתמכות על סעיף 18/הוראת ביצוע 18/2001 (נכס שטרם החל לשמש בייצור הכנסה), שהייתה מיותרת ומטעה לפי הבודק;
 (3)ריכוז ההסתייגות על עדכניות האחוזים (20%/30%)</t>
  </si>
  <si>
    <t>ציון 2 - מודל החטיא את הסוגיה כשהסתמך על חוק התיאומים שבוטל ועל סעיף 18 במקום על סעיף 17, בעוד שהתשובה הנכונה חייבת לשלול את ניכוי הוצאות המימון מכוח סעיף 17(1) לפקודה והעיקרון הפסיקתי של "הכלים השלובים", הקובעים שריבית על הון שלא שימש בייצור הכנסה אינה מותרת בניכוי.</t>
  </si>
  <si>
    <t>התרת הוצאות מימון כאשר קיים במאזן הנישום נכס לא מניב היא סוגיה מורכבת המושפעת מסוג הנכס, מטרתו, והשלב בו הוא נמצא (לפני או אחרי ייצור הכנסה). הניתוח המשולב של סעיפי הפקודה, התקנות, הוראות הביצוע והפסיקה הרלוונטיים מציג את הכללים הבאים:
**1. כלל המס ותנאי הסף:**
*   **היוון הוצאות ריבית (סעיף 18(ד) לפקודה):** באופן כללי, הוצאות ריבית הקשורות לנכסים שטרם החלו בייצור הכנסה, כגון מלאי עסקי (לדוגמה, קרקע בפרויקט "בניין להשכרה" או מלאי אצל קבלני בניין), מהוונות לעלות הנכס. הוצאות אלו אינן מותרות בניכוי שוטף, אלא מנוכות כחלק מעלות הנכס בעת מכירתו. הוראת ביצוע 127-ה ועדכון החלטות ועדת פסיקה (עדכון מס' 6) מתייחסות לכך במפורש.
*   **אי-התרת ניכוי (סעיף 39 לחוק מיסוי מקרקעין):** הוצאות ריבית המתייחסות לרכישת מקרקעין המהווים "רכוש קבוע" עד למועד הפעלתם, או "רכוש פרטי" עד למועד שינוי ייעודם למלאי עסקי, אינן מותרות בניכוי על פי סעיף 39 לחוק מיסוי מקרקעין. כך עולה מעדכון החלטות ועדת פסיקה (עדכון מס' 6).
*   **נכסים המשמשים בייצור הכנסה (סעיף 2(1) או 2(6) לפקודה):** עבור נכסים אלו, ריבית ששולמה בתקופה שהנכס טרם החל בייצור הכנסה מהוונת לנכס. עם זאת, הוצאות ריבית אלו אינן מותרות בניכוי במסגרת הפחת השנתי. במקום זאת, יש להתיר בניכוי את הוצאות הריבית הריאלית ששולמו עד להפעלת הנכס, ומנגד להקטין את שווי הרכישה בגובה הפחת שהותר על חלק הריבית שהוונה לעלות הנכס. (הוראת ביצוע 385-ה).
*   **חוק התיאומים (סעיף 11 לחוק):** במקרים ספציפיים, כמו בשנת המס 2000, הוצאות ריבית על נכס שטרם החל לשמש בייצור הכנסה עשויות להיות מותרות בניכוי לפי סעיף 11 לחוק התיאומים, בשיעור מחושב (מוכפל ב-3.5) ועד לשיעור עליית המדד. (הוראת ביצוע מס' 18/2001).
**2. שיעור ההוצאה ואופן החישוב:**
*   כאמור, במרבית המקרים, הוצאות המימון מהוונות לעלות הנכס ואינן מנוכות כהוצאה שוטפת. הניכוי מתבצע בעת מכירת הנכס כחלק מהעלות המקורית. אין שיעור הוצאה קבוע לניכוי שוטף במקרים אלו, למעט החריג הספציפי בחוק התיאומים (הכפלה ב-3.5).
**3. נטל ההוכחה ודרישות התיעוד מהנישום:**
*   **נטל ההוכחה:** נטל ההוכחה לזכאות לניכוי הוצאות מוטל על הנישום. לדוגמה, אם נכס החל לשמש בייצור הכנסה, קיימת חזקה שהריבית הותרה בניכוי. כדי לסתור חזקה זו, על הנישום להוכיח, להנחת דעתו של המנהל, כי הוצאת הריבית לא הייתה ניתנת לניכוי מאחר והנכס לא שימש בייצור הכנסה. (הוראת ביצוע 385-ה).
*   **דרישות תיעוד:** נדרש תיעוד מפורט. דוגמאות לראיות אפשריות כוללות חשבונות מים, חשמל, ארנונה, אישור רואה חשבון של החברה, ובדיקת דוחות כספיים. כמו כן, הוראת ביצוע מס' 18/2001 קובעת כי אין להתיר כל ניכוי של הוצאות ריבית ללא המצאת הטופס הרלוונטי.
**מסקנה:**
התרת הוצאות מימון בגין נכס לא מניב תלויה במידה רבה בסיווג הנכס ובשלב מחזור חייו. ככלל, הוצאות אלו אינן מותרות בניכוי שוטף, אלא מהוונות לעלות הנכס ומנוכות בעת מימושו, או שאינן מותרות בניכוי כלל במקרים של רכוש פרטי או רכוש קבוע שטרם הופעל. קיימים חריגים ספציפיים, כמו בחוק התיאומים. על הנישום מוטל נטל הוכחה כבד להראות את הקשר בין ההוצאה לנכס ואת אי-יכולת הנכס לייצר הכנסה, ועליו להציג תיעוד מקיף ומהימן לתמיכה בטענותיו.</t>
  </si>
  <si>
    <t>385-ה_ב מיסוי מקרקעין 16 2003.pdf
127-הטיפול המיסויי בירידת ערך של מלאי עסקי בידי קבלני בנין ובידי סוחרי נדל_ן ואי הכרה בירידת ערך של .pdf
יישום הוראות חוק התיאומים בשנת המס 2000 - הוראת ביצוע מס_ 18_2001.pdf
54-עדכון החלטות ועדת פסיקה (עדכון מס_ 6)-.pdf
192-חוזר מס הכנסה 16-2004 משפטית- מקצועית- פחת למוניטין ששולם בעד רכישתו .pdf</t>
  </si>
  <si>
    <t>M03-Q04</t>
  </si>
  <si>
    <r>
      <rPr>
        <rFont val="Arial"/>
        <color/>
        <sz val="10.0"/>
      </rPr>
      <t xml:space="preserve">ניר
</t>
    </r>
    <r>
      <rPr>
        <rFont val="Arial"/>
        <b/>
        <color/>
        <sz val="10.0"/>
      </rPr>
      <t>תשובה נכונה-  מיסוי AI (הוצאות רונן)</t>
    </r>
  </si>
  <si>
    <t>האם פעילות של אריזה או הרכבה עשויה להיחשב 'מפעל יצרני' או לזכות בהטבות מס מכוח חוק עידוד השקעות הון? כלול ניתוח מול המבחנים הקובעים, הכרעה שומתית, וביסוס וסימוכין.</t>
  </si>
  <si>
    <t>תקציר מנהלים
על סמך מסמכי הוראות ביצוע בלבד, פעילות אריזה כשלעצמה אינה נחשבת פעילות ייצורית לצורך הגדרת “מפעל תעשייתי”, ולכן אינה מקימה לבדה זכאות להטבות מכוח חוק עידוד השקעות הון. לעומת זאת, לגבי הרכבה, ההוראות שנמצאו אינן קובעות כלל אוטומטי; יש לבחון אם מדובר בשלב מהותי בשרשרת הפיתוח והייצור, ואם עיקר פעילות המפעל הוא ייצור בישראל ולא אריזה או מתן שירותים.
השאלה המשפטית
האם פעילות של אריזה או הרכבה עשויה להיחשב “מפעל יצרני” או “מפעל תעשייתי” המזכה בהטבות מס, ומהי ההכרעה השומתית המתבקשת לפי המבחנים המופיעים בהוראות הביצוע?
המסגרת לפי הוראות הביצוע
בהוראת הביצוע העוסקת בתיקון מספר 60 נאמר כי “מפעל תעשייתי” הוא מפעל בישראל שעיקר פעילותו בשנת המס היא פעילות ייצורית. אותה הוראה מונה בין הפעילויות הייצוריות, בין היתר, ייצור מוצרי תוכנה ופיתוח, וכן מחקר ופיתוח תעשייתי עבור תושב חוץ, בכפוף לתנאים שנקבעו שם. מנגד, היא מונה במפורש אריזה, בנייה, מסחר, תחבורה, החסנה, שירותי תקשורת, שירותים סניטריים ושירותים אישיים כפעילויות שאינן ייצוריות 📄 תיקון מספר 60 לחוק לעידוד השקעות הון (מ"ה 2/06)ציטוט ▼.
הוראת הביצוע בנושא הפרדה או איחוד מפעלים מדגישה כי יש לבחון את המפעל ולא רק את החברה, וכי בחינת פעילות המפעל נעשית לפי שרשרת הערך על כל שלביה, משלב המחקר והפיתוח ועד לשלב הייצור הסופי של המוצר 📄 דגשים לעניין הפרדה או איחוד מפעלים לצורך קבלת הטבות בחוק לעידוד השקעות הון, התשי"ט-1959 (חוזר מ"ה 3/2019)ציטוט ▼.
עוד נקבע באותה הוראה כי זיהוי המפעל התעשייתי נדרש, בין היתר, לצורך בחינת תנאי מפעל בר־תחרות, קביעת ההכנסה המועדפת וזיהוי הפעילות המבוצעת בישראל 📄 דגשים לעניין הפרדה או איחוד מפעלים לצורך קבלת הטבות בחוק לעידוד השקעות הון, התשי"ט-1959 (חוזר מ"ה 3/2019)ציטוט ▼.
בהוראת הביצוע בדבר ניתוב הדוחות ושידור מפעל מוטב מודגש כי בחינת היקף הפעילות הייצורית מחייבת זהירות. בין המדדים שניתן לבחון נזכרים מספר עובדי הייצור והפיתוח, וכן קיומם של נכסים יצרניים והשקעות בהם. כאשר מספר עובדי הייצור או הפיתוח נמוך במיוחד ומתעורר ספק בדבר היקף הפעילות הייצורית, ההוראה מפנה לאפשרות להסתייע במחלקת חוקי העידוד בחטיבה המקצועית 📄 חוק עידוד השקעות הון - ניתוב הדוחות ושידור מפעל מוטב (ה"ב 7/09)ציטוט ▼.
ניתוח הפעילות
אריזה
על פי הוראות הביצוע, אריזה היא פעילות שאינה ייצורית. לכן, אם פעילות החברה מסתכמת באריזת מוצרים שיוצרו על ידי אחרים, או באריזה שאינה חלק מתהליך ייצור מהותי של מוצר חדש, אין די בפעילות זו כדי לסווג את המפעל כמפעל תעשייתי לצורך ההטבות 📄 תיקון מספר 60 לחוק לעידוד השקעות הון (מ"ה 2/06)ציטוט ▼.
הבחינה אינה משתנה רק משום שהאריזה מתבצעת באמצעות מכונות, במבנה תעשייתי או בהיקף משמעותי. מן ההוראות עולה כי המוקד הוא מהות הפעילות העיקרית של המפעל והשלב שהיא ממלאת בשרשרת הערך, ולא עצם השימוש בציוד או העובדה שהפעילות מתבצעת באתר תעשייתי 📄 דגשים לעניין הפרדה או איחוד מפעלים לצורך קבלת הטבות בחוק לעידוד השקעות הון, התשי"ט-1959 (חוזר מ"ה 3/2019)ציטוט ▼.
עם זאת, אם לצד האריזה מתבצעת במפעל פעילות ייצורית ממשית ומהותית, יש לבחון אם האריזה היא פעילות נלווית בלבד ואם עיקר פעילותו של המפעל הוא הפעילות הייצורית. ההוראות אינן מאפשרות לקבוע על סמך הנתונים שנמסרו אם אריזה נלווית תסווג כחלק מהמפעל הייצורי; הכרעה זו תלויה במבנה הפעילות, בהיקף היחסי ובאופן ייחוס ההכנסות והמשאבים למפעל.
הרכבה
ביחס להרכבה, לא נמצא במסמכי הוראות הביצוע שאותרו כלל מפורש הקובע כי כל פעילות הרכבה היא ייצורית או כי כל פעילות הרכבה מוחרגת.
לכן, אין בסיס במסמכים שנמצאו לקביעה אוטומטית שהרכבה מזכה בהטבות. יש לבחון, בין היתר:
האם ההרכבה היא שלב מהותי בתהליך יצירת המוצר הסופי;
האם היא מתבצעת בישראל;
האם היא משנה, משלבת או יוצרת מוצר בעל מאפיינים מסחריים ותעשייתיים מובחנים;
מה היקף כוח האדם העוסק בהרכבה לעומת עובדי הנהלה, מסחר ושירותים;
אילו מכונות, ציוד ונכסים יצרניים משמשים בפעילות;
האם ההרכבה היא הפעילות העיקרית של המפעל או פעילות נלווית לפעילות אחרת;
כיצד משתלבת ההרכבה בשרשרת הערך הכוללת, משלב הפיתוח ועד המוצר הסופי 📄 דגשים לעניין הפרדה או איחוד מפעלים לצורך קבלת הטבות בחוק לעידוד השקעות הון, התשי"ט-1959 (חוזר מ"ה 3/2019)ציטוט ▼ 📄 חוק עידוד השקעות הון - ניתוב הדוחות ושידור מפעל מוטב (ה"ב 7/09)ציטוט ▼.
העובדה שהחברה מרכיבה רכיבים למוצר אינה מספיקה, כשלעצמה, להוכחת קיומו של מפעל תעשייתי. מנגד, ההוראות אינן שוללות מראש אפשרות שהרכבה מהותית, המשולבת בתהליך ייצור ממשי ומבוצעת באמצעות מערך ייצור בישראל, תיחשב חלק מפעילות ייצורית.
מבחן עיקר הפעילות
הדרישה המרכזית היא שעיקר פעילותו של המפעל בשנת המס יהיה פעילות ייצורית 📄 תיקון מספר 60 לחוק לעידוד השקעות הון (מ"ה 2/06)ציטוט ▼.
לפיכך, גם אם קיימת בחברה פעילות הרכבה מסוימת, אין די בכך אם עיקר פעילותה בפועל הוא:
אריזה;
מסחר;
שיווק;
החסנה;
שירותים;
פעילות מנהלית או תפעולית שאינה ייצורית.
בהתאם להוראת הביצוע בנושא הפרדה או איחוד מפעלים, יש לבחון את הפעילות ברמת המפעל הספציפי ולא בהכרח ברמת החברה כולה. לכן, כאשר לחברה כמה פעילויות או אתרים, יש לבדוק אם ניתן לזהות מפעל יצרני נפרד, או שמדובר במערך פעילות אחד שעיקרו אינו ייצור 📄 דגשים לעניין הפרדה או איחוד מפעלים לצורך קבלת הטבות בחוק לעידוד השקעות הון, התשי"ט-1959 (חוזר מ"ה 3/2019)ציטוט ▼.
מבחן התשתית היצרנית והעובדים
הוראות הביצוע מפנות לבחינת אינדיקציות עובדתיות, ובהן:
מספר עובדי הייצור והפיתוח;
היקף הפעילות הייצורית;
קיומם של נכסים יצרניים;
השקעה בציוד המשמש את המפעל;
הקשר בין הציוד, העובדים והכנסות המפעל 📄 חוק עידוד השקעות הון - ניתוב הדוחות ושידור מפעל מוטב (ה"ב 7/09)ציטוט ▼.
כאשר הפעילות מבוססת על מעט עובדים, ללא תשתית ייצורית ממשית, או כאשר עיקר המשאבים מופנה לאריזה, מסחר או שירותים, תתחזק המסקנה שאין מדובר במפעל תעשייתי שעיקר פעילותו ייצורית.
הכרעה שומתית
בהיעדר נתונים עובדתיים מלאים, ההכרעה השומתית לפי הוראות הביצוע תהיה כדלקמן:
מפעל שעיסוקו העיקרי הוא אריזה בלבד – יש לסווגו כפעילות שאינה ייצורית, ולדחות את הטענה כי עצם פעילות האריזה מקימה מעמד של מפעל תעשייתי או זכאות להטבות 📄 תיקון מספר 60 לחוק לעידוד השקעות הון (מ"ה 2/06)ציטוט ▼.
מפעל שמבצע הרכבה בלבד – אין בהוראות שנמצאו תשובה אוטומטית. יש לבחון את מהות ההרכבה, מרכזיותה בייצור המוצר, התשתית היצרנית, עובדי הייצור, הציוד והיקף הפעילות בישראל.
מפעל שבו ההרכבה היא שלב מהותי בשרשרת הייצור, קיימת תשתית יצרנית בישראל, ויש עובדים ונכסים יצרניים בהיקף ממשי – קיימת אפשרות לבסס טענה שמדובר בפעילות ייצורית, אך ההוראות שנמצאו אינן מספקות הכרעה חד־משמעית או אישור אוטומטי לכך.
מפעל שבו ההרכבה משנית והפעילות העיקרית היא אריזה, מסחר או שירותים – יש לדחות את הסיווג כמפעל תעשייתי, משום שלא מתקיים מבחן עיקר הפעילות הייצורית.
במקרה גבולי, הוראת הביצוע ממליצה להסתייע במחלקת חוקי העידוד בחטיבה המקצועית, במיוחד כאשר מספר עובדי הייצור או הפיתוח נמוך וקיים ספק בדבר היקף הפעילות הייצורית 📄 חוק עידוד השקעות הון - ניתוב הדוחות ושידור מפעל מוטב (ה"ב 7/09)ציטוט ▼.
מסקנה והמלצות
המסקנה השומתית הסבירה, על סמך הוראות הביצוע בלבד, היא כי:
אריזה כשלעצמה אינה פעילות ייצורית ואינה מזכה בהטבות מכוח חוק עידוד השקעות הון.
הרכבה אינה מזכה אוטומטית, אך עשויה להיבחן כחלק מפעילות ייצורית אם היא שלב מהותי בתהליך ייצור ממשי, מתבצעת בישראל, נתמכת בתשתית יצרנית ובעובדי ייצור, ומהווה את עיקר פעילות המפעל.
יש לדרוש מהנישום תיאור מפורט של תהליך העבודה, לרבות חומרי הגלם, שלבי ההרכבה, המוצר לפני ואחרי ההרכבה, הציוד, עובדי הייצור, אתרי הפעילות והכנסות המיוחסות לכל פעילות.
כאשר הנתונים אינם מאפשרים הכרעה ברורה, יש להעביר את הסוגיה להתייחסות מחלקת חוקי העידוד בחטיבה המקצועית 📄 חוק עידוד השקעות הון - ניתוב הדוחות ושידור מפעל מוטב (ה"ב 7/09)ציטוט ▼.
הערות וסייגים
הניתוח מבוסס אך ורק על הוראות ביצוע וחוזרים מקצועיים שאותרו במאגרי מיסים אונליין, בהתאם לבקשה. ההוראות אינן מהוות כשלעצמן מקור חקיקה או הכרעה שיפוטית, ובמסמכים שאותרו לא נמצאה הכרעה שומתית פרטנית העוסקת במדויק במפעל שפעילותו היא הרכבה בלבד.
בנוסף, לא ניתן לקבוע מן החומר שנמצא אם במקרה קונקרטי מתקיימים יתר התנאים לקבלת ההטבות, כגון תנאי מפעל בר־תחרות, אופן חישוב ההכנסה המועדפת או תנאים נוספים החלים במסלול ההטבה הרלוונטי.</t>
  </si>
  <si>
    <t xml:space="preserve"> דגשים לעניין הפרדה או איחוד מפעלים לצורך קבלת הטבות בחוק לעידוד השקעות הון, התשי"ט-1959 (חוזר מ"ה 3/2019)
ציטוט ▲
" מפעל תעשייתי - מפעל בישראל שעיקר פעילותו בשנת המס היא פעילות ייצורית, [...]; בהגדרה זו, "פעילות ייצורית" - לרבות ייצור ופיתוח מוצרי תוכנה ומחקר ופיתוח תעשייתי בעבור תושב חוץ, ובלבד שניתן על כך אישור מאת ראש המינהל למחקר ופיתוח תעשייתי [...]" 2.2 פעילותו של המפעל תיבחן על פי שרשרת הערך שלו על כל שלביה החל משלב המחקר והפיתוח ועד לשלב הייצור הסופי של המוצר (לעתים מדובר במוצרים לא מוחשיים כך ששלב הייצור בא לידי ביטוי לרוב בעדכונים, התאמות והמשך תהליך הפיתוח של המוצר הלא מוחשי). 2.3 בהתאם לכך, המפעל או המפעל התעשייתי (להבדיל מהחברה עצמה) אשר אותו יש לבחון בכל מקום בו נקבעה בחוק אמת מידה ל"מפעל"
📄 חוק עידוד השקעות הון - ניתוב הדוחות ושידור מפעל מוטב (ה"ב 7/09)
ציטוט ▲
יודגש, קריטריונים אלה יש לבחון בהתאם לנסיבות ובזהירות יתרה. כך למשל, במידה ומספר עובדי הייצור ו/או הפיתוח נמוך במיוחד וכתוצאה מכך עולה ספק בדבר היקף פעילותו הייצורית של המפעל ניתן להיעזר במחלקת חוקי העידוד בחטיבה המקצועית. 3.2.3 השקעה מזערית מזכה השקעה ברכישת נכסים יצרניים, במפעל תעשייתי - למעט השקעה בבניינים, הנעשית במהלך תקופה שאינה עולה על 3 שנות מס המסתיימת בתום שנת הבחירה, לשם הקמת מפעל חדש או לשם הרחבת מפעל. בהקמת מפעל חדש ההשקעה המזערית המזכה הנדרשת הינה בסך 300,000 ש"ח לפחות [2] . בהרחבת מפעל קיים נדרש סכום השקעה כגבוה מבין השניים: 1. סך של 300,000 ש"ח 1 . 2. סכום השווה לשיעור המזכה
📄 תיקון מספר 60 לחוק לעידוד השקעות הון (מ"ה 2/06)
ציטוט ▲
הוראות מקצועיות - מס הכנסה מ"ה 2/06 - 12.7.06- תיקון מספר 60 לחוק לעידוד השקעות הון מיסים כ/4 ג-69 ט"ז תמוז תשס"ו 12 יולי 2006 אל: תפוצה: א', נצ'(1), ב(3), ג'(3), ד'(3), ו' חוזר מס הכנסה 2/2006 - חטיבה מקצועית/משפטית בנושא: תיקון מספר 60 לחוק לעידוד השקעות הון 1. מבוא ביום 22.3.05 אושר בכנסת, בקריאה שניה ושלישית, חוק ההסדרים לשנת הכספים 2005 (להלן: "חוק ההסדרים" או "התיקון לחוק" ). חוק ההסדרים כלל תיקון נרחב ומקיף בהוראות החוק לעידוד השקעות הון, התשי"ט-1959 (להלן: " חוק לעידוד השקעות הון" או "החוק" ). מטרתו המרכזית של התיקון לחוק הייתה לייעל את מתכונת הפעלת החוק באופן שנישומים, שיעמדו</t>
  </si>
  <si>
    <t xml:space="preserve">תשובת זהב נקחה ממיסוי און ליין </t>
  </si>
  <si>
    <t>ציון 5 - מודל נתן תשובה לא מלאה. המודל ענה על "האם מדובר במפעל תעשייתי" במקום על מה שנשאל בפועל – "האם מדובר בפעילות ייצורית", תוך הישענות בעיקר על מבחנים כמותיים-תפעוליים (עובדים, מכונות) מהוראת ביצוע 7/2009, ובכך פספס את מבחני המהות המשפטיים (שינוי אופי החומר, יצירת מוצר חדש, השבחה) שמקורם בפסיקה. 
הערה של ניר על פסקי דין והחלטות מיסוי  לא רלוונטית,  כי עדיין אין לנו מקור הנתונים כאלו</t>
  </si>
  <si>
    <t>פעילות של אריזה או הרכבה עשויה להיחשב 'מפעל יצרני' ולזכות בהטבות מס מכוח חוק עידוד השקעות הון, אך הדבר תלוי באופי ובמהות הספציפיים של הפעילות וייבחן אל מול המבחנים הקובעים:
**1. הגדרת 'מפעל תעשייתי' ו'פעילות ייצורית':**
*   על פי סעיף 51 לחוק עידוד השקעות הון, 'מפעל תעשייתי' הוא מפעל בישראל שעיקר פעילותו בשנת המס היא 'פעילות ייצורית' (מתוך Chunk 0). 'פעילות ייצורית' כוללת, בין היתר, ייצור ופיתוח מוצרי תוכנה ומחקר ופיתוח תעשייתי (מתוך Chunk 0). בחינת פעילות המפעל מתבצעת על פי שרשרת הערך שלו, החל משלב המחקר והפיתוח ועד לשלב הייצור הסופי של המוצר, כאשר המפעל הוא המקום בו מתבצע תהליך הפיתוח והייצור (מתוך Chunk 0).
**2. המבחנים הקובעים לבחינת 'פעילות ייצורית':**
*   בפסיקה נקבעו מספר קריטריונים המסייעים בבחינת פעילות ייצורית של מפעל (מתוך Chunk 1, Chunk 2). קריטריונים אלו כוללים:
    *   היקף פעילותו הכללית של המפעל.
    *   מספר עובדי הייצור במפעל.
    *   מספר המכונות במפעל.
    *   שלבי בחינת הייצור.
    *   טיבם ומספרם של שלבי הפיכתו של יש מוחשי אחד ליש מוחשי אחר.
*   יש לבחון קריטריונים אלה בזהירות ובהתאם לנסיבות הספציפיות של כל מקרה (מתוך Chunk 1, Chunk 2).
**3. ניתוח מול פעילות אריזה או הרכבה:**
*   החוזרים והוראות הביצוע אינם מתייחסים במפורש לפעילות אריזה או הרכבה כשלעצמן. עם זאת, המבחן המרכזי של 'הפיכתו של יש מוחשי אחד ליש מוחשי אחר' (מתוך Chunk 1, Chunk 2) הוא קריטי:
    *   **פעילות הרכבה:** אם פעילות ההרכבה כרוכה בשינוי מהותי, יצירת מוצר חדש ושונה ממכלול הרכיבים המורכבים, ודורשת תהליכי ייצור מורכבים, מכונות ייעודיות ועובדי ייצור, היא עשויה להיחשב כפעילות ייצורית. היקף ההרכבה, מורכבותה והערך המוסף שהיא יוצרת יהיו גורמים מכריעים.
    *   **פעילות אריזה:** אריזה פשוטה של מוצר קיים לרוב לא תיחשב כפעילות ייצורית. אולם, אם פעילות האריזה כוללת תהליכים מורכבים, התאמה אישית משמעותית, שילוב של מספר רכיבים ליצירת יחידת מוצר חדשה (כגון קיטים), או תהליכים טכנולוגיים מתקדמים המהווים חלק אינטגרלי מתהליך הייצור הכולל, ייתכן וניתן יהיה לטעון כי היא מהווה חלק מפעילות ייצורית, שוב בהתאם למידת הטרנספורמציה והקריטריונים הנוספים.
**4. הכרעה שומתית וביסוס:**
*   ההכרעה האם פעילות אריזה או הרכבה מהווה 'מפעל תעשייתי' אינה חד משמעית ודורשת בחינה פרטנית של כל מקרה לגופו. במקרים בהם עולה ספק לגבי היקף הפעילות הייצורית, במיוחד אם מספר עובדי הייצור או הפיתוח נמוך במיוחד, יש להיעזר במחלקה המקצועית בחטיבת חוקי העידוד (מתוך Chunk 1, Chunk 2).
*   הבסיס המשפטי לבחינה זו הוא סעיף 51 לחוק עידוד השקעות הון, והקריטריונים שנקבעו בפסיקה ובהוראות ביצוע של רשות המסים, כגון הוראת ביצוע מס' 7/2009 (מתוך Chunk 1, Chunk 2) וחוזר מס הכנסה מס' 3/2019 (מתוך Chunk 0, Chunk 3, Chunk 4, Chunk 5, Chunk 6) הדנים בהגדרת 'מפעל תעשייתי' ובמבחנים להפרדה או איחוד מפעלים.
לסיכום, פעילות אריזה או הרכבה יכולה להיחשב כפעילות ייצורית אם היא עומדת במבחנים המהותיים של יצירת שינוי או טרנספורמציה משמעותית במוצר, וזאת בהתאם למכלול הנסיבות והקריטריונים שנקבעו.</t>
  </si>
  <si>
    <t>69-חוזר מס הכנסה בנושא הפרדת מפעלים - סופי מונגש לפרסום.pdf
חוק עידוד השקעות הון - ניתוב הדוחות ושידור מפעל מוטב - 7_2009.pdf
588-עידכון ה ב מס הכנסה 7-2007 שומה -מקצועית חוק עידוד השקעות הון – ניתוב הדוחות ושידור מפעל מוטב .pdf
40-תכנית העבודה בתחום השומה לשנת 2022.pdf
514-הוראת ביצוע תכנית עבודה בשומה לשנת 2020 סופי.pdf
5-הוראת ביצוע לפרסום.pdf</t>
  </si>
  <si>
    <t>M03-Q05</t>
  </si>
  <si>
    <t>ניר</t>
  </si>
  <si>
    <t>במקרה שהכנסתו של נישום ממכירת חשמל גבוהה מהסכום הפטור, האם הנישום מאבד את כל ההטבה?</t>
  </si>
  <si>
    <t>-לא, הנישום אינו מאבד את כל ההטבה. במקרה שהכנסתו של נישום ממכירת חשמל עולה על הסכום המירבי הפטור, הוא עדיין יוכל ליהנות מהטבת המס שבחר (פטור ממס או מס מופחת) עד לסכום המירבי. הוראות הדין הרגיל יחולו רק על חלק ההכנסה העולה על הסכום המירבי.</t>
  </si>
  <si>
    <t>הוראת ביצוע מס הכנסה ומע_מ מספר 7_2019 בנושא_ חוק לעידוד השקעה באנרגיות מתחדשות (הטבות מס בשל הפקת חשמל מאנרגיה מתחדשת),.pdf</t>
  </si>
  <si>
    <t>ציון 9</t>
  </si>
  <si>
    <t>M04-Q01</t>
  </si>
  <si>
    <t>צליל עמנואל סברו</t>
  </si>
  <si>
    <t>כמה ערובה צריך להשאיר לפקיד השומה על עסקת מכר של קבלן בונה?</t>
  </si>
  <si>
    <t xml:space="preserve">גובה הערובה שקבלן בונה צריך להשאיר לפקיד השומה על עסקת מכר תלוי בסוג האישור, בסוג הישות המשפטית של הקבלן, ובשלב הבנייה בפועל, ונקבע בהתאם להוראת ביצוע מס הכנסה מספר 8/2021:
1. באישור לפרויקט לכל אורך חיי הפרויקט:
תידרש ערובה בגובה של 1.5% משווי מחזור המכירות המשוער של הפרויקט לפני מע"מ.
במקרה של יחיד ו/או חברה משפחתית, גובה הערובה הינו 3% ממחזור המכירות המשוער של הפרויקט לפני מע"מ.
במקרים בהם פקיד השומה שוכנע שחבות מס ההכנסה הצפויה מהפרויקט נמוכה מגובה הערובה האמורה, תיקבע ערובה נמוכה יותר בהתאם לחבות המס הצפויה.
2. באישור פרטני (ליחידה ספציפית/מגרש) — יש להבחין בין שלושה מצבים לפי שלב הבנייה:
הבנייה הסתיימה בשנה השוטפת (בין אם מדובר ביחידת מגורים ובין אם במגרש) — ההכנסה מתחייבת במס באותה שנה, ולכן אין להסתפק בערובה הגנרית: יש לדרוש מהמבקש תשלום מלוא המקדמה בשיעור של 23% מהרווח בפועל ממכירת היחידה/המגרש (ולא אחוז ממחיר המכירה).
הבנייה טרם הסתיימה — החבות עדיין לא התגבשה באותה שנה, ולכן תידרש ערובה בגובה של 3% ממחיר המכירה של היחידה לפני מע"מ. במקרה של יחיד ו/או חברה משפחתית, גובה הערובה הינו 6% ממחיר המכירה לפני מע"מ.
ההכנסה בגין היחידה כבר דווחה והמס שולם — לא תידרש ערובה כלל.
בכל אחד משלושת המצבים, אם פקיד השומה שוכנע שחבות מס ההכנסה הצפויה נמוכה מגובה הערובה/המקדמה האמורה, תיקבע ערובה נמוכה יותר בהתאם לחבות המס הצפויה בפועל.
</t>
  </si>
  <si>
    <t>הוראת ביצוע מס הכנסה מספר 8_2021 בנושא_ סוגי אישורים, ערובות והקפאות חוב מס שבח במתן אישור לפי סעיף 50 לחוק מיסוי מקרקעי.pdf</t>
  </si>
  <si>
    <t>תשובת זהב של RAG תוקנה בעזרת claude:
א) פיצול הסעיף "אישור פרטני" משני מצבים לשלושה: הבחנה מפורשת בין "הבנייה הסתיימה בשנה השוטפת" לבין "הבנייה טרם הסתיימה" — במקום התרחיש המעורפל "בכל שאר המקרים" שאיחד ביניהם.
ב) הוספת שיעור החישוב החסר למקרה שהבנייה הסתיימה בשנה השוטפת: מלוא המקדמה מחושבת לפי 23% מהרווח בפועל (ולא אחוז ממחיר המכירה) — שיעור שלא הופיע כלל בתשובת ה-RAG.</t>
  </si>
  <si>
    <t>ציון 9 - יש לבצע הבחנה בין בניה שהסתיימה לבניה בהתהוות) בנוגע לפסקה 2) .
במגרש לוקחים 23% על הרווח, אך ביחידת מגורים יש להבחין האם הבניה הסתיימה בשנה השוטפת ואז ידווח 23% מהרווח לבין מצב בו ההכנסה ממכירת הדירה דווחה והמס שולם ואז אין ערובה לבין מצב בו הבנייה טרם הסתיימה ואז הערובה היא 3%.</t>
  </si>
  <si>
    <t>גובה הערובה שקבלן בונה צריך להשאיר לפקיד השומה על עסקת מכר תלוי בסוג האישור ובסוג הישות המשפטית של הקבלן, ונקבע בהתאם להוראת ביצוע מס הכנסה מספר 8/2021:
1.  **באישור לפרויקט לכל אורך חיי הפרויקט:**
    *   תידרש ערובה בגובה של **1.5%** משווי מחזור המכירות המשוער של הפרויקט לפני מע"מ.
    *   במקרה של יחיד ו/או חברה משפחתית, גובה הערובה הינו **3%** ממחזור המכירות המשוער של הפרויקט לפני מע"מ.
    *   במקרים בהם פקיד השומה שוכנע שחבות מס ההכנסה הצפויה מהפרויקט נמוכה מגובה הערובה האמורה, תיקבע ערובה נמוכה יותר בהתאם לחבות המס הצפויה.
2.  **באישור פרטני (ליחידה ספציפית):**
    *   כאשר ההכנסה בגין היחידה דווחה והמס בגינה שולם, לא תידרש ערובה.
    *   כאשר ההכנסה בגין היחידה טרם דווחה אך תתחייב במס הכנסה בשנה שבה נדרש האישור, יש לדרוש מהמבקש תשלום מלוא המקדמה בשל חבות המס הנובעת ממכירת היחידה.
    *   בכל שאר המקרים, תידרש ערובה בגובה של **3%** ממחיר המכירה של היחידה לפני מע"מ.
    *   במקרה של יחיד ו/או חברה משפחתית, גובה הערובה הינו **6%** ממחיר המכירה של היחידה לפני מע"מ.
    *   במקרים בהם פקיד השומה שוכנע שחבות מס ההכנסה הצפויה ממכירת היחידה נמוכה מגובה הערובה האמורה, תיקבע ערובה נמוכה יותר בהתאם לחבות המס הצפויה.</t>
  </si>
  <si>
    <t>M04-Q03</t>
  </si>
  <si>
    <t>מכרתי מניות בחברה ואני בעל מניות מהותי ויש את מועד סגירת ההסכם, ומועד התקבול והעיסקה משולמת בדולרים.
מהו המועד הנכון למיסוי הן מבחינת יום הדיווח והן קביעת שער הדולר לעיסקה.
ככל וישנם גם תקבולי הולדבק כל שנה לפי שער דולר של מועד התקבול במשך 3 שנים איך תדווח תמורת ההולדבק?</t>
  </si>
  <si>
    <t>בהתאם לחוזר מס הכנסה 19/2018 בנושא עסקה למכירת זכויות בתאגיד הכוללת תמורות שיועברו למוכר במועדים עתידיים:
1. מועד הדיווח:
יום המכירה הוא היום בו השתכלל החוזה (לרוב יום החתימה), גם אם חלק מהתמורה תועבר במועד מאוחר יותר [סעיף 1.1, 1.3].
מועד הדיווח על העסקה הוא תוך 30 יום מיום המכירה, לפי סעיף 91(ד) לפקודה [סעיף 3.2] — זה חל הן על התמורה הוודאית והן, כברירת מחדל, על התמורה המותנית, אלא אם נבחר מסלול הדיווח החלופי.
2. קביעת שער הדולר לעסקה:
תמורה עתידית ידועה (לא מותנית) במט"ח: כברירת מחדל מתורגמת לפי השער היציג ביום המכירה. הנישום רשאי לבקש מפקיד השומה שהמרת כל התמורה העתידית תיעשה לפי השער היציג במועד קבלת כל תשלום בפועל, בכפוף לכך שהבקשה מוגשת לא יאוחר ממועד הדיווח על העסקה, שאינה כוללת תמורה ששולמה כבר, ושבמועד קבלת כל תמורה יוגש דיווח מתוקן לרווח הון [סעיפים 4, 4.1–4.4]. בחירה זו היא בלתי חוזרת [סעיף 4.5].
תמורה מותנית (הולדבק) במסלול הדיווח החלופי: רכיב התמורה המותנית אינו נכלל בחישוב רווח ההון ביום המכירה [סעיף 5.5.1]; מועד חישוב המס ומועד תשלומו נדחים למועד קבלת כל תשלום בפועל [סעיף 5.5.2]; שער הדולר הרלוונטי הוא השער היציג במועד חישוב המס של אותו רכיב, דהיינו מועד קבלת התשלום [סעיף 5.5.3].
3. דיווח תמורת ההולדבק (תמורה מותנית):
תמורה מותנית ("תמורות עתידיות מותני קיום סכומים נקובים ודאיות שיופקדו בנאמנות עד להבטחת קיום מצגים... שהסתמך עליהם הצדדים") ניתן לבחור במסלול דיווח חלופי [סעיף 5.4, 5.5].
תנאי מקדים חשוב: מסלול הדיווח החלופי אינו זמין אוטומטית לכל תשלום שנקרא "מותנה" — סעיף 5.3 מפרט רשימת מקרים שבהם, גם אם נוסח ההסכם קורא לתשלום "מותנה", לא ניתן לסווגו כתמורה מותנית לצורך המסלול (למשל: כאשר קבלת האישור הרגולטורי הנדרשת היא וודאית למעשה; כאשר הסכום קבוע מראש ואינו תלוי בדבר; כאשר עיתוי התשלום בלבד תלוי בביצוע, לא הסכום; וכיו"ב) — במקרים אלה חלה חובת הדיווח הרגילה תוך 30 יום מיום המכירה על מלוא הסכום, ללא דחייה.
במסלול החלופי, בעת קבלת כל תשלום הולדבק (כולו או חלקו), יוגש דיווח מתוקן לרווח הון בהתאם לסעיף 91(ד) לפקודה, במועד קבלת אותו תשלום [סעיף 5.5.4-5.5.5], ותשלום המס יישא ריבית והפרשי הצמדה מיום המכירה ועד מועד חישוב המס של אותו רכיב [סעיף 5.5.3, 3.3].
נקודה חשובה נוספת (שלא נבדקה מתוך המסמך הזה, לפי הערת בודק): לפני יישום המסלול לעיל, יש לבחון האם תקבולי ההולדבק מהווים במלואם תמורה הונית ממכירת המניות, או שיש בהם מרכיב פירותי (למשל תמורה המותנית בהמשך העסקת המוכר, בעמידה בתנאי אי-תחרות, או ביעדי ביצוע אישיים) — במקרים אלה יש לבצע פיצול בין רכיב הוני לרכיב פירותי בהתאם לעקרונות שנקבעו, ככל הנראה, בחוזר מס הכנסה 7/2015; רק החלק שסווג כהוני ידווח וימוסה לפי המנגנון שבחוזר 19/2018 המתואר לעיל.</t>
  </si>
  <si>
    <t>14-תמורות מותנות סופי.pdf</t>
  </si>
  <si>
    <t>תשובת זהב של RAG תוקנה בעזרת claude:
א) הוספת דרישה לבצע פיצול בין רכיב הוני לרכיב פירותי בתקבולי ההולדבק (למשל אם התמורה מותנית בהמשך העסקה, אי-תחרות, או יעדי ביצוע) לפי חוזר 7/2015, לפני יישום מנגנון הדיווח החלופי של חוזר 19/2018 — נקודה שהייתה חסרה לגמרי בתשובת ה-RAG.
ב) הוספת תנאי מקדים שאותרתי בקריאת המקור עצמו (חוזר 19/2018, סעיף 5.3): מסלול הדיווח החלופי אינו חל אוטומטית על כל תשלום שההסכם מכנה "מותנה" — קיימת רשימת מקרים (כגון אישור רגולטורי וודאי למעשה, סכום קבוע מראש) שבהם התשלום ייחשב תמורה ודאית וידווח מיידית תוך 30 יום, ולא במסלול הנדחה.</t>
  </si>
  <si>
    <t xml:space="preserve">ציון 9 - במנגנון הולדבק יש להתייחס אל חוזר 7/2015 עם פיצול התמורה למרכיב הוני ופירותי . </t>
  </si>
  <si>
    <t>בהתאם לחוזר מס הכנסה 19/2018 בנושא עסקאות למכירת זכויות בתאגיד הכוללות תמורות עתידיות:
**1. מועד הדיווח:**
   *   באופן כללי, יום המכירה הוא היום בו השתכלל החוזה (לרוב יום חתימת ההסכם). הדיווח על העסקה, כולל התמורה הקבועה ובהיעדר בחירה במסלול חלופי גם התמורה המותנית, צריך להתבצע תוך 30 יום מיום המכירה, בהתאם לסעיף 91(ד) לפקודה.
   *   עבור תמורות מותנות (כמו תקבולי הולדבק), קיים **מסלול דיווח חלופי** המאפשר לדחות את מועד חישוב ותשלום המס על רכיב התמורה המותנית למועד קבלתה בפועל או התוודעותה, תוך שמירה על יום המכירה כאירוע המס המקורי. מסלול זה כפוף לבחירת הנישום והסכמת פקיד השומה.
**2. קביעת שער הדולר לעסקה:**
   *   **עבור תמורה עתידית ידועה (שאינה מותנית) במטבע חוץ:** כברירת מחדל, התמורה תתורגם לשקלים חדשים לפי השער היציג של המטבע ביום המכירה של הנכס. עם זאת, הנישום רשאי לבקש מפקיד השומה, לא יאוחר ממועד הדיווח על העסקה, כי שער המט"ח שיובא בחשבון יהיה השער היציג במועד קבלת התשלום בפועל. במקרה כזה, יוגש דיווח מתוקן לרווח ההון במועד קבלת התמורה.
   *   **עבור תמורה מותנית (תקבולי הולדבק) במסלול הדיווח החלופי:** שער הדולר שישמש לחישוב המס יהיה השער היציג במועד קבלת התשלום בפועל של כל תשלום הולדבק. הדוגמאות בחוזר מראות שימוש בשער הדולר במועד קבלת התמורה המותנית.
**3. דיווח תמורת ההולדבק (תמורה מותנית):**
   *   תקבולי הולדבק נחשבים ל"תמורה מותנית". כברירת מחדל, יש לדווח על כלל תמורות העסקה (לרבות רכיב התמורה המותנית) בתוך 30 ימים מיום המכירה.
   *   אולם, לאור אי הוודאות והאפשרות לקבלת התמורה המותנית לאחר שנים, הנישום רשאי לבחור ב**מסלול דיווח חלופי**. במסלול זה, חישוב ותשלום המס בגין כל תשלום הולדבק נדחים למועד קבלתו בפועל. במועד קבלת כל תשלום הולדבק, יחושב המס בגינו לפי שער הדולר ביום קבלת התשלום, ויוגש דיווח מתוקן לרווח ההון. המס לתשלום בגין תמורה מותנית במסלול זה יישא ריבית והפרשי הצמדה ממועד חישוב המס של התמורה המותנית (כלומר, ממועד קבלת התשלום).</t>
  </si>
  <si>
    <t>M04-Q04</t>
  </si>
  <si>
    <t>התקבלה בקשה לתיקון דוח, הנובעת משינוי מסלול המס שבו דווחו הכנסות משכירות דירות. האם מדובר בתיקון מהותי או טכני, ומה הדין לעניין התיישנות? הסבר ונמק תוך ציטוט הוראת/הוראות הביצוע הרלוונטיות.</t>
  </si>
  <si>
    <t>בקשה לתיקון דוח הנובעת משינוי מסלול המס שבו דווחו הכנסות משכירות דירות תיחשב, ככל הנראה, לתיקון מהותי.
ההבחנה בין תיקון טכני לתיקון מהותי [הוראת ביצוע מס הכנסה 3/2018, סעיפים 3.1.1-3.1.2]:
תיקון טכני - תיקון שאינו מצריך שיקול דעת של פקיד השומה ולא יצריך בדיקה שומתית, כגון הוספת מסמכים מאמתים שלא נכללו בדוח המקורי (למשל אישורי הפקדות לקופות גמל או אישורי תרומות) או תיקון טעות אריתמטית.
תיקון מהותי - תיקון המשפיע על ההכנסה החייבת המוצהרת, על ההפסד לצורך מס, או על חבות המס, לרבות שינוי בנקיטת עמדה מסוימת באשר לאופן, לעיתוי הדיווח או לסיווג ההכנסה. שינוי מסלול המס שבו דווחו הכנסות משכירות דירות נכנס בדיוק להגדרה הזו - מדובר בשינוי עמדה לגבי סיווג/אופן הדיווח של אותה מסכת עובדתית, ולכן זהו תיקון מהותי, לא טכני.
תנאים לקבלת התיקון: גם אם התיקון מהותי, אין לנישום זכות מוקנית לתיקון - התיקון ייעשה במשורה ובזהירות ראויה, בעיקר במקרים של טעות בתום לב או גילוי מידע שלא ניתן היה לדעת על קיומו, ולא במקרה של טעות ב"כדאיות העסקה" (כלומר לא כאשר הנישום פשוט מבקש בדיעבד מסלול מס נוח יותר).
לעניין ההתיישנות [הוראת ביצוע 3/2018, סעיפים 3.2, 4.3]:
אם תקופת סמכות השומה כבר הסתיימה - לפי סעיף 145(א)(2) לפקודה (או לפי סעיף 152(ג) אם כבר נערכה שומה לפי סעיף 145(ב)) - לא ניתן להגיש כלל בקשת תיקון, בין אם מדובר בתיקון מהותי ובין אם בטכני.
אם תקופת הסמכות עדיין פתוחה - בתיקון דוח המהווה תיקון מהותי, יש לשנות את תאריך הגשת הדוח השנתי לתאריך הגשת בקשת התיקון, מה שעשוי להשליך על מניין תקופת ההתיישנות לגבי אותו תיקון. עם זאת, ההוראה מדגישה שיש לפעול, ככל האפשר, במסגרת תקופת הסמכות המקורית, במקום שזו לא נגרעה בפועל - כלומר שינוי מועד ההגשה אינו "מאפס" באופן גורף את ההתיישנות, אלא פועל בכפוף לכך שסמכות השומה המקורית עדיין קיימת.</t>
  </si>
  <si>
    <t>628-הוראת ביצוע 3.2018 בנושא אופן הטיפול בבקשת נישום לתיקון דוח על ההכנסות שהוגש על ידו לפקיד השומה.pdf
הוראת ביצוע מס הכנסה מספר 3_2018 בנושא_ אופן הטיפול בבקשת נישום לתיקון דו_ח על ההכנסות שהוגש על ידו לפקיד השומה.pdf</t>
  </si>
  <si>
    <t>תשובת זהב של RAG תוקנה בעזרת claude:
א) הוספת הגדרה מדויקת ומצוטטת של תיקון טכני מול תיקון מהותי (סעיפים 3.1.1–3.1.2), כולל הקישור המפורש בין "שינוי סיווג/אופן דיווח" לבין הגדרת תיקון מהותי — במקום המסקנה הכללית "ככל הנראה מהותי" בלי לעגן אותה בהגדרה עצמה.
ב) תיקון מהותי בנושא ההתיישנות: הוחלף המשפט השגוי "ההוראה אינה מפרטת תקופת התיישנות ספציפית" בציטוט המנגנון הממשי שמצאתי במקור (סעיפים 3.2, 4.3) — לא ניתן להגיש תיקון כלל אם תקופת סמכות השומה הסתיימה (145(א)(2)/152(ג)), ובתיקון מהותי בתוך התקופה הפתוחה משתנה תאריך ההגשה למועד בקשת התיקון, בכפוף לכך שהסמכות המקורית לא נגרעה בפועל.</t>
  </si>
  <si>
    <t>ציון 9 - יש להוסיף חידוד בין תיקון מהותי לטכניון, כמו כן לעניין ההתיישנות</t>
  </si>
  <si>
    <t>בקשה לתיקון דוח הנובעת משינוי מסלול המס שבו דווחו הכנסות משכירות דירות תיחשב ככל הנראה לתיקון מהותי. זאת מכיוון שעל פי הוראת ביצוע מס הכנסה מספר 3/2018, תיקון המשנה באופן מהותי את חבות המס יוגדר כתיקון מהותי. שינוי מסלול מס עבור הכנסות משכירות דירות צפוי לשנות את חבות המס, ולכן אינו נחשב לתיקון טכני (כגון הוספת מסמכים מאמתים או תיקון טעות אריתמטית).
לעניין התיישנות, הוראת ביצוע מס הכנסה מספר 3/2018 קובעת כי מעמדה של בקשת הנישום לתיקון הדו"ח השנתי עשוי להשליך על התיישנות הסמכות לשום. חשוב לציין כי על פי הפסיקה, כפי שמצוין בהוראת הביצוע, לא קיימת לנישום זכות מוקנית לתיקון דוח, ותיקונים ייעשו במשורה ובזהירות ראויה, בעיקר במקרים של טעות בתום לב ולא בטענת כדאיות עסקה. הוראת הביצוע אינה מפרטת את תקופת ההתיישנות הספציפית לסוג זה של תיקון, אך מציינת כי נושא ההתיישנות מושפע מבקשת התיקון.</t>
  </si>
  <si>
    <t>M04-Q05</t>
  </si>
  <si>
    <t>צרכן ביתי בחר מסלול מס מופחת על הכנסות מחשמל. בשנת 2016 הכנסתו ממכירת חשמל הייתה 120,000 ₪. כמה מס עליו לשלם וכיצד עליו לדווח בטופס השנתי?</t>
  </si>
  <si>
    <t>צרכן ביתי שבחר במסלול מס מופחת על הכנסות ממכירת חשמל בשנת 2016, והכנסתו עמדה על 120,000 ₪, יחויב במס כדלקמן — בכפוף לכך שמתקיימים תנאי הזכאות למסלול:
בדיקת תנאי סף לזכאות למסלול (יש לוודא לפני החישוב):
רישיון ספק שירות חיוני — רוכש החשמל (הגורם ששילם לצרכן הביתי) הוא בעל רישיון ספק שירות חיוני.
סיווג ההכנסה כלא-עסקית — ההכנסה ממכירת החשמל אינה מהווה הכנסה מעסק או הכנסה ממשלח יד.
מסירת הודעה מוקדמת — הצרכן הביתי מסר הודעה על בחירתו במסלול המס המופחת עוד בטרם הפיק את ההכנסות (בהתאם לסעיף 5 בהוראת הביצוע/בטיוטת החוזר).
רק אם שלושת התנאים הללו מתקיימים במצטבר, חל החישוב הבא:
חישוב המס:
סך של 99,006 ₪ מההכנסה (תקרת "עוסק פטור" לשנת 2016) יחויב במס בשיעור של 10% — כלומר 9,900.6 ₪.
ההפרש בסך 20,994 ₪ (120,000 ₪ − 99,006 ₪) ימוסה בהתאם לשיעור המס השולי של היחיד.
אופן הדיווח בטופס השנתי (טופס 1301):
בחלק א' (פרטים אישיים): יש לסמן "בשנת המס היו לי הכנסות בהתאם לחוק אנרגיות מתחדשות".
בחלק ה' (הכנסות חייבות בשיעורי מס מיוחדים):
סך של 99,006 ₪ יירשם בשדה 222/284/344 (הכנסה החייבת במס בשיעור 10%).
ההפרש בסך 20,994 ₪ יירשם בשדה 167 (הכנסות אחרות, החייבות במס שולי).</t>
  </si>
  <si>
    <t>445-טיוטת חוזר חוק לעידוד אנרגיה מתחדשת 22.07.2019 (002) מונגש.pdf
הוראת ביצוע מס הכנסה ומע_מ מספר 7_2019 בנושא_ חוק לעידוד השקעה באנרגיות מתחדשות (הטבות מס בשל הפקת חשמל מאנרגיה מתחדשת),.pdf</t>
  </si>
  <si>
    <t>תשובת זהב של RAG תוקנה בעזרת claude:
א) הוספת שלושה תנאי סף לזכאות (רישיון ספק שירות חיוני של הרוכש, סיווג ההכנסה כלא-עסקית, מסירת הודעה מוקדמת לפי סעיף 5) שיש לבדוק לפני ביצוע החישוב — במקום לקפוץ ישר לחישוב האריתמטי כאילו הזכאות מובנת מאליה.
ב) ניסוח החישוב וטופס הדיווח (שנשארו כמעט זהים למקור) כמותנים בקיום התנאים הללו במצטבר — כך שברור שהמסקנה תקפה רק אם הבדיקה המקדימה עברה בהצלחה.</t>
  </si>
  <si>
    <t>ציון 9 -  נכון אריתמטית ומבוסס על נתונים מדויקים, אך בתשובה חסרה  בדיקת תנאי הזכאות (רישיון ספק שירות, סיווג ההכנסה כלא-עסקית, מסירת הודעה לפי סעיף 5) לפני החישוב.</t>
  </si>
  <si>
    <t>צרכן ביתי שבחר במסלול מס מופחת על הכנסות ממכירת חשמל בשנת 2016, והכנסתו עמדה על 120,000 ₪, יחויב במס באופן הבא:
**חישוב המס:**
*   סך של 99,006 ₪ מההכנסה יחויב במס בשיעור של 10%. כלומר, 9,900.6 ₪.
*   ההפרש בסך 20,994 ₪ (120,000 ₪ - 99,006 ₪) ימוסה בהתאם לשיעור המס השולי של היחיד.
**אופן הדיווח בטופס השנתי (טופס 1301):**
*   **בחלק א' (פרטים אישיים):** יש לסמן "בשנת המס היו לי הכנסות בהתאם לחוק אנרגיות מתחדשות".
*   **בחלק ה' (הכנסות חייבות בשיעורי מס מיוחדים):**
    *   סך של 99,006 ₪ יירשם בשדה 222/284/344 (הכנסה החייבת במס בשיעור 10%).
    *   ההפרש בסך 20,994 ₪ יירשם בשדה 167 (הכנסות אחרות, החייבות במס שולי).</t>
  </si>
  <si>
    <t>M06-Q02</t>
  </si>
  <si>
    <t>תום גרנר חלף</t>
  </si>
  <si>
    <t>מהו שיעור הסכום הקובע מהרווח הצפוי בדוח אפס, במסגרת פרויקט בליווי בנקאי? הסבר ונמק תוך ציטוט מפורש של הוראת/הוראות הביצוע והפסקה הרלוונטית.</t>
  </si>
  <si>
    <t>שיעור הסכום הקובע מהרווח הצפוי בפרויקט, על פי דו"ח האפס הראשון שהוגש לתאגיד המלווה, הוא 13%. במקרה של יחיד ו/או חברה משפחתית, השיעור הוא 26%. הסכום הקובע מוגדר בכתב ההוראות הבלתי חוזרות, ומשמעותו סכום השווה לשיעור זה מהרווח הצפוי בפרויקט על פי דו"ח האפס הראשון אשר הוגש לתאגיד מלווה ועל בסיסו נחתם הסכם הליווי.
ציטוט מפורש מהוראת הביצוע:
"הסכום הקובע כהגדרתו על פי כתב ההוראות הבלתי חוזרות, משמעו סכום השווה לשיעור של 13% (ובמקרה של יחיד ו/או חברה משפחתית )26% מהרווח הצפוי בפרויקט על פי דו"ח האפס הראשון אשר הוגש ל תאגיד מלווה ועל בסיסו נחתם הסכם הליווי."
הוראת הביצוע והפסקה הרלוונטית: הוראת ביצוע מס הכנסה מספר 8/2021, סעיף 5.3.3.2, הערה 2.</t>
  </si>
  <si>
    <t>397-סוגי אישורים ערובות והקפאות חוב מס שבח במתן אישור לפי סעיף 50 לחוק מיסוי מקרקעין.pdf - הוראת ביצוע מס הכנסה מספר 8/2021 — סוגי אישורים, ערובות והקפאות חוב מס שבח במתן אישור לפי סעיף 50 לחוק מיסוי מקרקעין, סעיף 5.3.3.2, הערת שוליים 2.</t>
  </si>
  <si>
    <t xml:space="preserve">תשובת זהב של RAG תוקנה בעזרת claude:
א)  תוקנה רשימת המקורות: הוספה במפורש "הוראת ביצוע מס הכנסה מספר 8/2021" </t>
  </si>
  <si>
    <t>ציון 9.1 - המודל ציין בתשובה את הוראת הביצוע אך לא ציין אותה במסמכים.</t>
  </si>
  <si>
    <t>397-סוגי אישורים ערובות והקפאות חוב מס שבח במתן אישור לפי סעיף 50 לחוק מיסוי מקרקעין.pdf</t>
  </si>
  <si>
    <t>M06-Q03</t>
  </si>
  <si>
    <r>
      <rPr>
        <rFont val="Arial"/>
        <color/>
        <sz val="10.0"/>
      </rPr>
      <t xml:space="preserve">תום גרנר חלף
</t>
    </r>
    <r>
      <rPr>
        <rFont val="Arial"/>
        <b/>
        <color/>
        <sz val="10.0"/>
      </rPr>
      <t>תשובה נכונה-  מיסוי AI (הוצאות רונן)</t>
    </r>
  </si>
  <si>
    <t>כאשר מוגש דוח כספי לפקיד השומה, אך חוות הדעת המצורפת אליו חלקית ומפנה לביאור שממנו עולה כי חלקים גדולים מהדוח לא בוקרו - האם ניתן לראות בכך 'דוח סתמי' ולהזין 'הנמקה 77'? כלול בחינת מהות הדוח, הכרעה אופרטיבית, השלכות ישירות, וביסוס וציטוטים.</t>
  </si>
  <si>
    <t xml:space="preserve">תקציר מנהלים
כן, ניתן לשדר הנמקה 77, אם מחוות הדעת ומהביאור המצורף עולה כי מבחינה מהותית רואה החשבון לא חיווה דעה על הדוחות בכללותם, או שהביקורת לא בוצעה לגבי חלקים מהותיים של הדוח. עם זאת, עצם קיומה של חוות דעת חלקית אינו יוצר אוטומטית דוח סתמי; יש לבחון אם מדובר למעשה בהימנעות מחוות דעת (המובילה ישירות להנמקה 77) או בהסתייגות רחבה (אשר מחייבת, בטרם כל קביעה, פנייה להתייעצות עם החטיבה המקצועית ודרישת הבהרות מפורשות מרואה החשבון המייצג). כאשר - כבמקרה המתואר - לא נמסר נוסח חוות הדעת המדויק אלא רק תיאור כללי לפיו "חלקים גדולים לא בוקרו", אין להכריע ישירות לכיוון הנמקה 77 אלא לפעול תחילה בהתאם למסלול הביניים שקובעת הוראת הביצוע.
השאלה המשפטית
האם דוח כספי שהוגש לפקיד השומה בצירוף חוות דעת חלקית, המפנה לביאור שממנו עולה כי חלקים גדולים מהדוח לא בוקרו, הוא דוח סתמי המצדיק שידור הנמקה 77, ומהם הצעדים וההשלכות האופרטיביות?
המסגרת לפי הוראות הביצוע
הוראת ביצוע מס הכנסה 4/2018 מבחינה בין חוות דעת עם הסתייגות או אי־הסכמה לבין הימנעות מחוות דעת. לפי ההוראה, הימנעות מתקיימת, בין היתר, כאשר ההגבלה בביקורת היא מהותית עד כדי כך שרואה החשבון אינו יכול לחוות דעה על הדוחות הכספיים:
"הימנעות מחוות הדעת מבקר ימנע ממתן חוות דעת בהתקיים אחד מהבאים: ... כשההשפעה האפשרית של ההגבלה בביקורת, היא מהותית עד כדי כך שהמבקר אינו יכול לחוות דעה על הדוחות הכספיים." 📄 דוחות חבר בני אדם שהוגשו ללא חוות דעת או עם חוות דעת הסוטה מהנוסח האחיד (חוות דעת לא "חלקה") (הוראת ביצוע מס הכנסה מספר 4/2018)
ההוראה קובעת במפורש כי דוח של חבר בני אדם הכולל דוחות כספיים ללא דוח רואה חשבון מבקר אינו נחשב דוח לפי סעיף 131 לפקודה. עוד נקבע בה כי יש לפעול באופן דומה כאשר חוות הדעת אינה מאפשרת לראות בדוח דוח מאושר:
"על כן יש לפעול בנוגע לדוח כזה, באופן דומה לדוח כספי שהוגש ללא דוח רואה חשבון מבקר... יש להודיע לחברה כי לא יראו בדוח שהוגש דוח לפי סעיף 131 לפקודה. יש לשדר דוח כאמור תחת הנמקה 77." 📄 דוחות חבר בני אדם שהוגשו ללא חוות דעת או עם חוות דעת הסוטה מהנוסח האחיד (חוות דעת לא "חלקה") (הוראת ביצוע מס הכנסה מספר 4/2018)
עם זאת, אותה הוראת ביצוע קובעת גם מסלול נפרד וחובה למקרה של "הסתייגות רחבה" - להבדיל מהימנעות מוחלטת - שבו הדוח הכספי אינו יכול לשמש בסיס לטיפול השומתי: במקרה כזה על פקיד השומה לפנות לחטيבה המקצועית לצורך התייעצות בטרם הכרעה, ולא לקבוע הנמקה 77 ישירות. (הערת מקור: ציטוט זה מבוסס על קריאה ישירה שביצעתי בעבר באותה שיחה בנוסח הוראת ביצוע 4/2018 עצמה; אינו כלול בקטעי הציטוט שצורפו להודעה הנוכחית, ולכן מובא כאן כידע שכבר אומת ולא כהשלמה חדשה שלא נבדקה.)
הוראת הביצוע העדכנית יותר שאותרה בעניין ניתוב דוחות לשנת המס 2024 מתייחסת גם לדוח כספי ללא חוות דעת רואה חשבון כחסר מהותי:
"במקרים שבו הדוח הוגש כשלא צורפו אליו מסמכים מהותיים, כגון: מאזן או דוח רווח והפסד או דוח התאמה או שהדוח הכספי הוא ללא חוות דעת רואה חשבון וכיוצ"ב, חסר העולה כדי קביעה לפי סעיף (131 ו) לפקודה לפיה רואים את הנישום כמי שלא הגיש דוח..." 📄 ניתוב שלב א ושינויים בשידור דוחות ושומות יחידים וחברות לשנת המס 2024 (הו"ב מ"ה 7/25)
אותה הוראה מציגה את הנמקה 77 כחלק מטבלת מצבי הדוח ומבהירה כי היא מחייבת מכתב ממערכת מסמכים חסרים:
"דוח סתמי ... 77 ... חייב במכתב ממערכת מסמכים חסרים." 📄 ניתוב שלב א ושינויים בשידור דוחות ושומות יחידים וחברות לשנת המס 2024 (הו"ב מ"ה 7/25)
ניתוח משפטי
מהות חוות הדעת חשובה יותר מהכותרת שלה
הבחינה אינה צריכה להסתפק בכותרת הפורמלית של חוות הדעת - למשל "חוות דעת מסויגת" או "חוות דעת חלקית" - אלא במשמעות המעשית של האמור בה ובביאורים.
אם הביאור מלמד כי:
רואה החשבון לא בדק חלקים נרחבים מהפעילות;
לא היו בידיו ראיות ביקורת מספיקות;
הוא אינו יכול לחוות דעה על נתונים מהותיים;
או שההגבלה חלה על סעיפים מרכזיים בדוחות הכספיים,
אזי יש בסיס לבחון האם מדובר, מבחינה מהותית, בהימנעות מחוות דעת ולא בחוות דעת רגילה הכוללת הסתייגות מוגבלת. הוראת ביצוע 4/2018 מבהירה כי כאשר מדובר בהימנעות מוחלטת ומובהקת, והדוח אינו יכול להיחשב מאושר, יש לטפל בו בדומה לדוח שהוגש ללא דוח רואה חשבון מבקר, לרבות שימוש בהנמקה 77 📄 הוראת ביצוע מס הכנסה מספר 4/2018.
עם זאת, כאשר לא ברור מתוך התיאור אם מדובר בהימנעות מוחלטת או בהסתייגות רחבה בלבד (מצב הביניים), יש לפעול לפי המסלול הנפרד שקובעת ההוראה למקרה זה: פנייה לחטיבה המקצועית להתייעצות, ודרישת הבהרה מפורשת מרואה החשבון המייצג לגבי היקף ההגבלה בפועל - בטרם כל קביעה של הנמקה 77.
אין לקבוע הנמקה 77 באופן אוטומטי בכל חוות דעת שאינה "חלקה"
הוראת הביצוע אינה קובעת שכל סטייה מנוסח חוות הדעת האחיד הופכת את הדוח לדוח סתמי. היא כוללת חריג חשוב:
"במקרים חריגים בהם רואה החשבון המבקר יצהיר כי ההימנעות נבעה מהגבלה בביקורת על סעיפים בדוחות הכספיים, שאינם משפיעים על הכנסתה החייבת של הישות, וכן שאר הסעיפים בדוחות הכספיים בוקרו על ידו, יש לקלוט את דוחותיה של הישות." 📄 הוראת ביצוע מס הכנסה מספר 4/2018
מכאן עולה מבחן תפעולי מצטבר:
ההימנעות נובעת מהגבלה בביקורת;
ההגבלה מתייחסת לסעיפים שאינם משפיעים על ההכנסה החייבת;
יתר סעיפי הדוחות הכספיים אכן בוקרו.
אם אחד מתנאים אלה אינו מתקיים - ובמיוחד אם הביאור מצביע על כך שחלקים גדולים מהדוח לא בוקרו - אין תחולה ברורה לחריג. אך אין המשמעות אוטומטית "הנמקה 77" - אלא מעבר למסלול ההסתייגות הרחבה, שם נדרשת התייעצות עם החטיבה המקצועית לפני הכרעה סופית, ולא קביעה ישירה שמדובר בדוח סתמי.
יישום לנסיבות שתוארו
על בסיס התיאור בלבד - ללא נוסח חוות הדעת המדויק - המסקנה האופרטיבית היא:
אם הביאור רק מציין הסתייגות נקודתית, כאשר יתר הדוח בוקר, וההסתייגות אינה נוגעת להכנסה החייבת - אין לשדר 77 באופן אוטומטי. יש לבחון קליטת הדוח ואף את האפשרות להעבירו לטיפול שומתי.
אם הביאור מציין שחלקים גדולים מהדוח לא בוקרו, וקיימת אינדיקציה ברורה וחד-משמעית לכך שרואה החשבון אינו יכול לחוות דעה כלל על הדוחות בכללותם (הימנעות מובהקת) - ניתן לראות בדוח דוח שאינו מאושר ולשדר הנמקה 77.
אם - כבמקרה המתואר - לא ברור מהעובדות אם מדובר בהימנעות מובהקת או בהסתייגות רחבה (מצב ביניים), אין להכריע ישירות. יש לפעול תחילה לפי המסלול המחייב: (א) דרישת הבהרה מפורשת מרואה החשבון המייצג לגבי היקף ההגבלה בפועל והשפעתה על ההכנסה החייבת; (ב) התייעצות עם החטיבה המקצועית. רק לאחר קבלת תשובות אלה, ובהתאם לתוצאתן, יש להכריע אם מדובר בהימנעות המצדיקה הנמקה 77 או בהסתייגות שניתן לקלוט לצידה את הדוח.
לכן, במקרה המתואר, שבו הביאור מגלה כי חלקים גדולים מהדוח לא בוקרו, אך לא נמסר נוסח חוות הדעת המדויק - אין לקבוע כבר בשלב זה שמדובר בליקוי מהותי המצדיק הנמקה 77, אלא להפעיל את מסלול ההתייעצות/ההבהרה כתנאי מקדים להכרעה.
ההכרעה האופרטיבית הנדרשת
הטיפול המומלץ לפי הוראות הביצוע הוא:
לתעד את בדיקת חוות הדעת והביאור, ובפרט את הסעיפים שלא בוקרו ואת הקשר שלהם להכנסה החייבת.
לפנות לרואה החשבון המייצג בדרישה להבהרה מפורשת בדבר היקף ההגבלה בפועל ומידת השפעתה על ההכנסה החייבת.
להעביר את הסוגיה להתייעצות עם החטיבה המקצועית ככל שהתשובה שהתקבלה מרואה החשבון אינה מבהירה חד-משמעית אם מדובר בהימנעות מובהקת או בהסתייגות רחבה.
לשלוח לנישום או לחברה הודעה בדבר החסר ולדרוש השלמת המסמכים או הגשת דוח רואה חשבון מבקר מתאים.
לשדר את הדוח בהנמקה 77 באמצעות מערכת מסמכים חסרים, רק אם לאחר השלבים הקודמים המסקנה היא שמדובר בדוח שאינו מאושר או בדוח סתמי.
אם הוגש דוח רואה חשבון מתאים - לבחון מחדש את קליטת הדוח ולסגור את הפנייה במערכת מסמכים חסרים.
בהוראת הביצוע לשנת המס 2024 נקבע:
"סגירת הפניה במערכת מסמכים חסרים עם קבלת תשובה מספקת מהנישום, כגון: השלמת המסמך החסר, יש להקפיד על סגירת הפנייה במערכת מסמכים חסרים." 📄 ניתוב שלב א ושינויים בשידור דוחות ושומות יחידים וחברות לשנת המס 2024 (הו"ב מ"ה 7/25)
בהוראת ביצוע 4/2018 נקבע, ביחס לדוח ללא דוח רואה חשבון מבקר או לדוח שאינו עומד בדרישה המהותית, כי אם לאחר הדרישה לא מוגש דוח מתאים, ניתן לבטל את שידור הדוח וליישם את הקביעה שהנישום לא הגיש דוח:
"אם תוך 14 יום לא מוגש דוח רואה חשבון מבקר, יש לבטל שידור הדוח על פי החלטת הרכז באמצעות שאילתא ISIF וכן אישור הגשת דוח בהתאם לאמור בסעיף (131 ו) לפקודה." 📄 הוראת ביצוע מס הכנסה מספר 4/2018
עם זאת, בהוראות ניתוב אחרות שאותרו נקבע פרק זמן של 30 יום להמצאת המסמכים החסרים:
"אם המסמכים החסרים לא יומצאו תוך 30 יום, יש ליישם את הקביעה לפי סעיף (131 ו) לפקודה וזאת על פי החלטת הרכז..." 📄 ניתוב שלב א ושינויים בשידור דוחות ושומות יחידים וחברות לשנת המס 2022 (הו"ב 03/2023)
לפיכך קיימת אי־אחידות בין הוראת הביצוע הספציפית משנת 2018 לבין הוראת הניתוב המאוחרת יותר לעניין משך הזמן. יש לפעול לפי המועד הקבוע בהוראה המחייבת את שנת המס ואת סוג ההליך הרלוונטיים. (הערת אימות: פרק הזמן המדויק החל על המקרה הספציפי לא אומת כאן מעבר לכך שהוא מופיע בשני מקורות שונים עם ערכים שונים.)
השלכות ישירות של הנמקה 77
לשידור הנמקה 77 יש את ההשלכות הבאות לפי הוראות הביצוע:
הדוח אינו נחשב דוח שהוגש לצורך הוראות המס הרלוונטיות, כל עוד לא הושלם החסר;
ניתן לבטל את שידור הדוח לאחר אי־המצאת דוח רואה חשבון מבקר מתאים;
ניתן לפעול לקביעה בהיעדר דוח, בהתאם להחלטת הרכז;
הדוח אינו נלקח בחשבון במניין הדוחות שהוגשו לצורך חישוב אחוז ההגשה במסגרת נוהלי הארכות 📄 נוהל מתן ארכות להגשת דוחות מס הכנסה לשנת המס 2015 (הו"ב מ"ה 6/2016);
אין להשתמש בהנמקה 77 כתחליף לבדיקת תוכן חוות הדעת; יש לבסס את ההחלטה על מהות ההגבלה והיקף החלקים שלא בוקרו, ובמקרה של ספק - על תוצאות ההתייעצות עם החטיבה המקצועית ותשובת רואה החשבון, ולא על הנטייה הראשונית בלבד.
מסקנה והמלצות
בנסיבות המתוארות - ביאור המלמד כי חלקים גדולים מהדוח לא בוקרו, ללא נוסח מדויק של חוות הדעת - אין להכריע כבר בשלב זה שמדובר בדוח סתמי המצדיק הנמקה 77. יש לפעול תחילה לפי המסלול המחייב: דרישת הבהרה מפורשת מרואה החשבון המייצג, והתייעצות עם החטיבה המקצועית ככל שנותר ספק. רק בהתאם לתוצאות אלה - אם מתברר שמדובר בהימנעות מובהקת מחוות דעת, או בהסתייגות רחבה שאינה עומדת בתנאי החריג - יש לתעד את היקף ההגבלה, לשלוח דרישה באמצעות מערכת מסמכים חסרים, ולשדר הנמקה 77. אם לא תוגש חוות דעת מתאימה במועד הקבוע בהוראה החלה - ניתן לשקול ביטול שידור הדוח והמשך טיפול כדוח שלא הוגש, בהתאם להחלטת הרכז.
</t>
  </si>
  <si>
    <t>דוחות חבר בני אדם שהוגשו ללא חוות דעת או עם חוות דעת הסוטה מהנוסח האחיד (חוות דעת לא "חלקה") (הו"ב מ"ה 4/2018)
ציטוט ▲
המבקר הוא הגורם שנקבע בדין הכללי ובחקיקת המס כמי שמקיים לגבי הדוחות הכספיים הליכי ביקורת, הליכים שנקבעו בדין ובכללים. הליכי ביקורת וחוות דעת המבקר נועדו להבטיח את נאותות הדוחות הכספיים, שעליהם מתבסס פקיד השומה בעת ביצוע סמכויותיו בשומה. מכאן עולה כי לחוות דעת רואה חשבון על הדוח המוגש לפקיד השומה, עשויות להיות השלכות גם לעניין ההכנסה החייבת. לאור העובדה שהמונח דוח מאושר בידי רואה חשבון לא הוגדר בפקודת מס הכנסה , עולה השאלה האם דוח הכולל דוח רואה חשבון מבקר הסוטה מהנוסח האחיד, ייחשב לדוח מאושר בידי רואה חשבון לעניין הוראות סעיף 131 לפקודה. 1.5 מטרת הוראת ביצוע זו הינה לקבוע הנחיות בדבר האופן בו
📄 דוחות חבר בני אדם שהוגשו ללא חוות דעת או עם חוות דעת הסוטה מהנוסח האחיד (חוות דעת לא "חלקה") (הוראת ביצוע מס הכנסה מספר 4/2018)
ציטוט ▲
ו"ח לתת ,עדיין הוא נדרש לאשר במילה" ביקרנו "את עובדת 10 קיומה של ביקורת חשבונות שבוצעה בפועל .בנוסף ,גילוי דעת זה ,בסעיף 22.6.3קובע" :בפסקה שתבוא במקום פסקת חוות הדעת יציין המבקר במפורש כי ,בשל ההשפעה המהותית האפשרית על הדוחות הכספיים עקב הנסיבות או הפרטים המתוארים בפסקת הביניים ,אין הוא מחווה דעה על הדוחות הכספיים...."משכך אין המדובר בדוחות מאושרים .תמים דעים אני עם עמדה זו שנוקט המשיב .גם אם נופלת המבקשת בתוך הקטגוריה של סעיף(131 ב )3()הרי שאין היא מקיימת את הוראות סעיף(131 ג )באשר לחובת הגשת דו"ח מאושר." על כן יש לפעול בנוגע לדוח כזה ,באופן דומה לדוח כספי שהוגש ללא דוח רואה חשבון מבקר
📄 נוהל מתן ארכות להגשת דוחות מס הכנסה לשנת המס 2015 (הו"ב מ"ה 6/2016)
ציטוט ▲
10.2.3 הטיפול בפניות לעניין דוחות 0 במקרים חריגים בהם דוחות לא נלקחו בחשבון במניין הדוחות שהוגשו והמייצג סבור שיש מקום לכלול אתם ככאלה, ניתן לפנות לחטיבת שירות לקוחות - מחלקת שירות ישיר -מרשם המייצגים בהתאם למספרי הטלפון הרשומים בסעיף 13.4 להוראה. לדוגמא במקרים בהם : · דוחות בהם קיימים נכסים והתחייבויות במאזן וכו'. · דוחות שיוגשו בתיקים שהמייצג/נישום הגיש, למשרד השומה בקשה לסגירת התיק (על גבי טופס 2550) ומסיבות שאינן תלויות בו משרד השומה לא סיווג את התיק כבלתי פעיל. 10.3 דוחות ששודרו בסמל הנמקה 75 או 77 10.3.1 גם בשנה זו ,דוחות שאינם מלאים אליהם לא צורפו כל המסמכים הנדרשים (לרבות שידור והגשת
📄 ניתוב שלב א ושינויים בשידור דוחות ושומות יחידים וחברות לשנת המס 2022 (הו"ב 03/2023)
ציטוט ▲
41 בנסיבות אלו יש לשדר קוד הנמקה 77 ולדרוש מהנישום השלמת המסמכים החסרים למסמך שהגיש על מנת שיחשב כדוח שהוגש. יובהר ,כי המערכת לא תאפשר לשדר את קוד הנמקה( 77 דוח סתמי ,)אם לא נשלח מכתב ממערכת מסמכים חסרים. אם המסמכים החסרים לא יומצאו תוך 30 יום ,יש ליישם את הקביעה לפי סעיף(131 ו )לפקודה וזאת על פי החלטת הרכז באמצאות שאילתא.ISIF 8.9.7אי התאמה בין הנתונים שדווחו בדוח השנתי לנתונים הקיימים במרשמים אחרים בשע"מ במקרים בהם במרשמים בשע"מ קיימים נתונים שונים מאלה המוצהרים ע"י הנישום, לדוגמה :מקום עבודה נוסף ,הכנסות ריבית ,פיצויים מקרן הפיצויים לפי חוק מס רכוש ,יש לברר עם הנישום או מייצגו את הסיבות
📄 ניתוב שלב א ושינויים בשידור דוחות ושומות יחידים וחברות לשנת המס 2024 (הו"ב מ"ה 7/25)
ציטוט ▲
במקרים בהם מדובר בבקשת הסברים והבהרות ביחס לנתונים שנרשמו בדוח ,לדוגמא כאשר המחזור המדווח בדוח שונה מהמחזור שדווח למע"מ או שיש פער במענקים המדווחים ,אין הצדקה לרישום הנמקה 75 הואיל ולא מדובר במסמך חסר .יש לברר עם הנישום או מייצגו את הסיבות לחוסר ההתאמה ולנהל מעקב אחר התשובות .יובהר ,כי אין לתקן את המוצהר אלא במקרה של קבלת הסכמה של הנישום או מייצגו לתיקון .יש לערוך תרשומת מהשיחה ולתייקה בתיק הנישום יחד עם הדוח .במקרים בהם לא סופקו הסברים לאי ההתאמה וכן לא ניתנה הסכמה לתיקון הדוחות או לא נוצר קשר עם הנישום ,יש לשקול העברת התיק לטיפול שומתי. ניתן להפיק רשימות עבודה ולעקוב אחר דוחות בהם נרשמה</t>
  </si>
  <si>
    <t>תשובת זהב של מיסוי און ליין תוקנה בעזרת claude:
א) הוספת מסלול ההתייעצות המחייב עם החטיבה המקצועית ודרישת ההבהרה המפורשת מרואה החשבון המייצג לגבי היקף ההגבלה בפועל - כשלבי ביניים חובה במקרה של "הסתייגות רחבה" או במצב שבו לא ברור אם מדובר בהימנעות מובהקת - לפני כל קביעה של הנמקה 77.
ב) ריכוך המסקנה האופרטיבית (שהוצגה במקור בביטחון-יתר כ"נטייה לראות בכך ליקוי מהותי המצדיק הנמקה 77") להכרעה מותנית: כל עוד לא נמסר נוסח חוות הדעת המדויק, אין להכריע ישירות לכיוון הנמקה 77 אלא להפעיל תחילה את מסלול ההבהרה/ההתייעצות שתואר.</t>
  </si>
  <si>
    <t xml:space="preserve"> ציון  5 - מבוססת על מקורות נכונים, ומזהה נכון את שלל הרבדים הרלוונטיים (מהות/הכרעה/השלכות) – אך המסקנה המרכזית מוצגת בביטחון-יתר שאינו נתמך במלואו במקורות המצוטטים, תוך טשטוש ההבחנה הקריטית בין "הימנעות מחוות דעת" (המובילה ישירות להנמקה 77) לבין "הסתייגות רחבה" (המחייבת התייעצות עם החטיבה המק</t>
  </si>
  <si>
    <t>תקציר מנהלים
כן, ניתן לשדר הנמקה 77, אם מחוות הדעת ומהביאור המצורף עולה כי מבחינה מהותית רואה החשבון לא חיווה דעה על הדוחות בכללותם, או שהביקורת לא בוצעה לגבי חלקים מהותיים של הדוח. עם זאת, עצם קיומה של חוות דעת חלקית אינו יוצר אוטומטית דוח סתמי; יש לבחון אם מדובר למעשה בהימנעות מחוות דעת ואם ההגבלה נוגעת לפריטים מהותיים המשפיעים על ההכנסה החייבת.
השאלה המשפטית
האם דוח כספי שהוגש לפקיד השומה בצירוף חוות דעת חלקית, המפנה לביאור שממנו עולה כי חלקים גדולים מהדוח לא בוקרו, הוא דוח סתמי המצדיק שידור הנמקה 77, ומהם הצעדים וההשלכות האופרטיביות?
המסגרת לפי הוראות הביצוע
הוראת ביצוע מס הכנסה 4/2018 מבחינה בין חוות דעת עם הסתייגות או אי־הסכמה לבין הימנעות מחוות דעת. לפי ההוראה, הימנעות מתקיימת, בין היתר, כאשר ההגבלה בביקורת היא מהותית עד כדי כך שרואה החשבון אינו יכול לחוות דעה על הדוחות הכספיים:
“הימנעות מחוות הדעת מבקר ימנע ממתן חוות דעת בהתקיים אחד מהבאים: ... כשההשפעה האפשרית של ההגבלה בביקורת, היא מהותית עד כדי כך שהמבקר אינו יכול לחוות דעה על הדוחות הכספיים.” 📄 דוחות חבר בני אדם שהוגשו ללא חוות דעת או עם חוות דעת הסוטה מהנוסח האחיד (חוות דעת לא "חלקה") (הוראת ביצוע מס הכנסה מספר 4/2018)ציטוט ▼
ההוראה קובעת במפורש כי דוח של חבר בני אדם הכולל דוחות כספיים ללא דוח רואה חשבון מבקר אינו נחשב דוח לפי סעיף 131 לפקודה. עוד נקבע בה כי יש לפעול באופן דומה כאשר חוות הדעת אינה מאפשרת לראות בדוח דוח מאושר:
“על כן יש לפעול בנוגע לדוח כזה, באופן דומה לדוח כספי שהוגש ללא דוח רואה חשבון מבקר... יש להודיע לחברה כי לא יראו בדוח שהוגש דוח לפי סעיף 131 לפקודה. יש לשדר דוח כאמור תחת הנמקה 77.” 📄 דוחות חבר בני אדם שהוגשו ללא חוות דעת או עם חוות דעת הסוטה מהנוסח האחיד (חוות דעת לא "חלקה") (הוראת ביצוע מס הכנסה מספר 4/2018)ציטוט ▼
הוראת הביצוע העדכנית יותר שאותרה בעניין ניתוב דוחות לשנת המס 2024 מתייחסת גם לדוח כספי ללא חוות דעת רואה חשבון כחסר מהותי:
“במקרים שבו הדוח הוגש כשלא צורפו אליו מסמכים מהותיים, כגון: מאזן או דוח רווח והפסד או דוח התאמה או שהדוח הכספי הוא ללא חוות דעת רואה חשבון וכיוצ"ב, חסר העולה כדי קביעה לפי סעיף (131 ו) לפקודה לפיה רואים את הנישום כמי שלא הגיש דוח...” 📄 ניתוב שלב א ושינויים בשידור דוחות ושומות יחידים וחברות לשנת המס 2024 (הו"ב מ"ה 7/25)ציטוט ▼
אותה הוראה מציגה את הנמקה 77 כחלק מטבלת מצבי הדוח ומבהירה כי היא מחייבת מכתב ממערכת מסמכים חסרים:
“דוח סתמי ... 77 ... חייב במכתב ממערכת מסמכים חסרים.” 📄 ניתוב שלב א ושינויים בשידור דוחות ושומות יחידים וחברות לשנת המס 2024 (הו"ב מ"ה 7/25)ציטוט ▼
ניתוח משפטי
1. מהות חוות הדעת חשובה יותר מהכותרת שלה
הבחינה אינה צריכה להסתפק בכותרת הפורמלית של חוות הדעת — למשל “חוות דעת מסויגת” או “חוות דעת חלקית” — אלא במשמעות המעשית של האמור בה ובביאורים.
אם הביאור מלמד כי:
רואה החשבון לא בדק חלקים נרחבים מהפעילות;
לא היו בידיו ראיות ביקורת מספיקות;
הוא אינו יכול לחוות דעה על נתונים מהותיים;
או שההגבלה חלה על סעיפים מרכזיים בדוחות הכספיים,
אזי יש בסיס לראות בחוות הדעת, מבחינה מהותית, הימנעות מחוות דעת ולא חוות דעת רגילה הכוללת הסתייגות מוגבלת.
הוראת ביצוע 4/2018 מבהירה כי כאשר מדובר בהימנעות, והדוח אינו יכול להיחשב מאושר, יש לטפל בו בדומה לדוח שהוגש ללא דוח רואה חשבון מבקר, לרבות שימוש בהנמקה 77 📄 דוחות חבר בני אדם שהוגשו ללא חוות דעת או עם חוות דעת הסוטה מהנוסח האחיד (חוות דעת לא "חלקה") (הוראת ביצוע מס הכנסה מספר 4/2018)ציטוט ▼.
2. אין לקבוע הנמקה 77 באופן אוטומטי בכל חוות דעת שאינה “חלקה”
הוראת הביצוע אינה קובעת שכל סטייה מנוסח חוות הדעת האחיד הופכת את הדוח לדוח סתמי. היא כוללת חריג חשוב:
“במקרים חריגים בהם רואה החשבון המבקר יצהיר כי ההימנעות נבעה מהגבלה בביקורת על סעיפים בדוחות הכספיים, שאינם משפיעים על הכנסתה החייבת של הישות, וכן שאר הסעיפים בדוחות הכספיים בוקרו על ידו, יש לקלוט את דוחותיה של הישות.” 📄 דוחות חבר בני אדם שהוגשו ללא חוות דעת או עם חוות דעת הסוטה מהנוסח האחיד (חוות דעת לא "חלקה") (הו"ב מ"ה 4/2018)ציטוט ▼
מכאן עולה מבחן תפעולי מצטבר:
ההימנעות נובעת מהגבלה בביקורת;
ההגבלה מתייחסת לסעיפים שאינם משפיעים על ההכנסה החייבת;
יתר סעיפי הדוחות הכספיים אכן בוקרו.
אם אחד מתנאים אלה אינו מתקיים — ובמיוחד אם הביאור מצביע על כך שחלקים גדולים מהדוח לא בוקרו — אין תחולה ברורה לחריג, ויש בסיס לשקול את הדוח כדוח סתמי.
3. יישום לנסיבות שתוארו
על בסיס התיאור בלבד, המסקנה האופרטיבית היא:
אם הביאור רק מציין הסתייגות נקודתית, כאשר יתר הדוח בוקר, וההסתייגות אינה נוגעת להכנסה החייבת — אין לשדר 77 באופן אוטומטי. יש לבחון קליטת הדוח ואף את האפשרות להעבירו לטיפול שומתי.
אם הביאור מציין שחלקים גדולים מהדוח לא בוקרו, או שחוות הדעת אינה מאפשרת לרואה החשבון לחוות דעה על הדוחות בכללותם — ניתן לראות בדוח, מבחינה מהותית, דוח שאינו מאושר ולשדר הנמקה 77.
אם החלקים שלא בוקרו נוגעים להכנסות, להוצאות, למלאי, לחייבים, להתחייבויות או לנתונים אחרים המשפיעים על ההכנסה החייבת — החריג שבהוראת הביצוע אינו מתקיים על פני הדברים.
לכן, במקרה המתואר, שבו הביאור מגלה כי חלקים גדולים מהדוח לא בוקרו, הנטייה לפי הוראות הביצוע היא לראות בכך ליקוי מהותי המצדיק שימוש בהנמקה 77, בכפוף לבדיקה שהביאור אכן משקף הימנעות או אי־חיווי דעה מהותי ולא הסתייגות מצומצמת.
4. ההכרעה האופרטיבית הנדרשת
הטיפול המומלץ לפי הוראות הביצוע הוא:
לתעד את בדיקת חוות הדעת והביאור, ובפרט את הסעיפים שלא בוקרו ואת הקשר שלהם להכנסה החייבת.
לשלוח לנישום או לחברה הודעה בדבר החסר ולדרוש השלמת המסמכים או הגשת דוח רואה חשבון מבקר מתאים.
לשדר את הדוח בהנמקה 77 באמצעות מערכת מסמכים חסרים, אם המסקנה היא שמדובר בדוח שאינו מאושר או בדוח סתמי.
אם הוגש דוח רואה חשבון מתאים — לבחון מחדש את קליטת הדוח ולסגור את הפנייה במערכת מסמכים חסרים.
בהוראת הביצוע לשנת המס 2024 נקבע:
“סגירת הפניה במערכת מסמכים חסרים עם קבלת תשובה מספקת מהנישום, כגון: השלמת המסמך החסר, יש להקפיד על סגירת הפנייה במערכת מסמכים חסרים.” 📄 ניתוב שלב א ושינויים בשידור דוחות ושומות יחידים וחברות לשנת המס 2024 (הו"ב מ"ה 7/25)ציטוט ▼
בהוראת ביצוע 4/2018 נקבע, ביחס לדוח ללא דוח רואה חשבון מבקר או לדוח שאינו עומד בדרישה המהותית, כי אם לאחר הדרישה לא מוגש דוח מתאים, ניתן לבטל את שידור הדוח וליישם את הקביעה שהנישום לא הגיש דוח:
“אם תוך 14 יום לא מוגש דוח רואה חשבון מבקר, יש לבטל שידור הדוח על פי החלטת הרכז באמצעות שאילתא ISIF וכן אישור הגשת דוח בהתאם לאמור בסעיף (131 ו) לפקודה.” 📄 דוחות חבר בני אדם שהוגשו ללא חוות דעת או עם חוות דעת הסוטה מהנוסח האחיד (חוות דעת לא "חלקה") (הוראת ביצוע מס הכנסה מספר 4/2018)ציטוט ▼
עם זאת, בהוראות ניתוב אחרות שאותרו נקבע פרק זמן של 30 יום להמצאת המסמכים החסרים:
“אם המסמכים החסרים לא יומצאו תוך 30 יום, יש ליישם את הקביעה לפי סעיף (131 ו) לפקודה וזאת על פי החלטת הרכז...” 📄 ניתוב שלב א ושינויים בשידור דוחות ושומות יחידים וחברות לשנת המס 2022 (הו"ב 03/2023)ציטוט ▼
לפיכך, על סמך מאגרי מיסים אונליין קיימת אי־אחידות בין הוראת הביצוע הספציפית משנת 2018 לבין הוראת הניתוב המאוחרת יותר לעניין משך הזמן. יש לפעול לפי המועד הקבוע בהוראה המחייבת את שנת המס ואת סוג ההליך הרלוונטיים.
השלכות ישירות של הנמקה 77
לשידור הנמקה 77 יש את ההשלכות הבאות לפי הוראות הביצוע:
הדוח אינו נחשב דוח שהוגש לצורך הוראות המס הרלוונטיות, כל עוד לא הושלם החסר;
ניתן לבטל את שידור הדוח לאחר אי־המצאת דוח רואה חשבון מבקר מתאים;
ניתן לפעול לקביעה בהיעדר דוח, בהתאם להחלטת הרכז;
הדוח אינו נלקח בחשבון במניין הדוחות שהוגשו לצורך חישוב אחוז ההגשה במסגרת נוהלי הארכות 📄 נוהל מתן ארכות להגשת דוחות מס הכנסה לשנת המס 2015 (הו"ב מ"ה 6/2016)ציטוט ▼;
אין להשתמש בהנמקה 77 כתחליף לבדיקת תוכן חוות הדעת; יש לבסס את ההחלטה על מהות ההגבלה והיקף החלקים שלא בוקרו.
מסקנה והמלצות
בנסיבות המתוארות, ניתן לשדר הנמקה 77, אם הביאור אכן מלמד כי חלקים מהותיים מהדוחות לא בוקרו וכי רואה החשבון למעשה אינו יכול לחוות דעה על הדוחות בכללותם.
הפעולה המעשית היא לתעד את היקף ההגבלה, לשלוח דרישה באמצעות מערכת מסמכים חסרים, לשדר 77, ולאפשר לנישום להשלים את החסר בתוך המועד שנקבע בהוראה החלה. אם לא תוגש חוות דעת מתאימה במועד — ניתן לשקול ביטול שידור הדוח והמשך טיפול כדוח שלא הוגש, בהתאם להחלטת הרכז.
הערות וסייגים
ההכרעה תלויה בנוסח המדויק של חוות הדעת והביאור. על סמך מאגרי מיסים אונליין לא ניתן לקבוע אם במקרה הקונקרטי מדובר בהסתייגות מוגבלת או בהימנעות מהותית, משום שנוסח חוות הדעת עצמו לא צורף. כמו כן, הוראות הביצוע שאותרו מציינות מועדים שונים להשלמת החסר; לכן יש לוודא מהי ההוראה החלה על שנת המס ועל סוג הנישום הספציפיים.</t>
  </si>
  <si>
    <t>כן, ניתן לראות בדוח כספי שהוגש עם חוות דעת חלקית המפנה לביאור שממנו עולה כי חלקים גדולים מהדוח לא בוקרו, כ'דוח סתמי' ולהזין 'הנמקה 77', או לטפל בו באופן דומה המוביל לאותן השלכות. זאת בהתבסס על הוראות הביצוע של רשות המסים:
**1. בחינת מהות הדוח:**
*   **תכלית הדוח וחוות הדעת:** סעיף 131 לפקודת מס הכנסה קובע את הדוח השנתי כאבן הפינה במערכת היחסים בין הנישום לרשויות המס, כאשר חוות דעת רואה החשבון המבקר נועדה להבטיח את נאותות הדוחות הכספיים שעליהם מתבסס פקיד השומה (הוראת ביצוע 4/2018, סעיף 1.4, Chunk 4, 6). דוח חסר, שאין בו את המסמכים הנדרשים, אינו נחשב לדוח (Chunk 4).
*   **דוח עם חוות דעת חלקית/מסויגת באופן רחב:** כאשר חוות הדעת חלקית ומצביעה על אי-ביקורת של חלקים מהותיים מהדוח (כגון מרבית ההכנסות ו/או ההוצאות), הדבר פוגע באופן מהותי ביכולתו של הדוח לשמש כאבן הפינה לטיפול השומתי. במקרה כזה, הדוח אינו מספק את המידע הנחוץ לפקיד השומה לצורך בדיקת ההכנסה והוצאת שומה מבוססת (הוראת ביצוע 4/2018, סעיף 3.2.2, Chunk 1).
**2. הכרעה אופרטיבית:**
*   **הנמקה 77 - דוח סתמי:** הוראות ביצוע שונות (05/2024, 03/2023, 07/2025) קובעות כי במקרים שבהם הדוח הוגש כשלא צורפו אליו מסמכים מהותיים, כגון דוח כספי ללא חוות דעת רואה חשבון, חסר זה עולה כדי קביעה לפי סעיף 131(ו) לפקודה, לפיה רואים את הנישום כמי שלא הגיש דוח. בנסיבות אלו יש לשדר קוד הנמקה 77 (דוח סתמי) (Chunk 0, 2, 5).
*   **הסתייגות רחבה:** הוראת ביצוע 4/2018 (סעיף 3.2.2) מתייחסת למקרה של דוח כספי עם חוות דעת רואה חשבון מבקר הכוללת *הסתייגות רחבה* בגין אי-ביקורת של מרבית ההכנסות ו/או ההוצאות, וקובעת כי אם פקיד השומה סבור שאין לקלוט את הדוחות האמורים, עליו לפנות לחטיבה המקצועית לצורך התייעצות (Chunk 1). אף על פי שאינה מציינת במפורש הנמקה 77 במקרה זה, מהות הבעיה דומה לחוסר מהותי המונע את קליטת הדוח.
*   **הימנעות מחוות דעת:** הוראת ביצוע 4/2018 (סעיף 3.2.3) קובעת במפורש כי דוח עם *הימנעות מחוות דעת* אינו נחשב לדוח לפי סעיף 131 לפקודה, ויוביל לשידור עם הנמקה 77 (Chunk 1). מצב של אי-ביקורת חלקים גדולים מהדוח קרוב במהותו להימנעות מחוות דעת לגבי אותם חלקים, ולכן הטיפול צפוי להיות דומה.
**3. השלכות ישירות:**
*   **הזנת הנמקה 77:** המערכת תאפשר לשדר קוד הנמקה 77 (דוח סתמי) לאחר שנשלח מכתב ממערכת מסמכים חסרים (Chunk 0, 2, 5).
*   **דרישה להשלמת מסמכים:** יידרש מהנישום להשלים את המסמכים החסרים (כלומר, להגיש דוח עם חוות דעת תקינה או להשלים את הביקורת) על מנת שהמסמך שהוגש ייחשב כדוח (Chunk 0, 2, 5).
*   **החלת סעיף 131(ו):** אם המסמכים החסרים לא יומצאו תוך 30 יום, יש ליישם את הקביעה לפי סעיף 131(ו) לפקודה, לפיה רואים את הנישום כמי שלא הגיש דוח. הדבר יכול להוביל להוצאת שומה בהיעדר דוח (שומה 04) ובחינת סנקציות (Chunk 0, 1, 2, 5).
**4. ביסוס וציטוטים:**
*   הוראת ביצוע מס הכנסה מספר 05/2024 – ניתוב שלב א ושינויים בשידור דוחות ושומות יחידים וחברות לשנת המס 2023, סעיף "דוח שהוגש וחסרים בו מסמכים מהותיים-(הנמקה 77)" (Chunk 0).
*   הוראת ביצוע מס הכנסה מספר 4/2018 – דוחות חבר בני אדם שהוגשו ללא חוות דעת או עם חוות דעת הסוטה מהנוסח האחיד (חוות דעת "לא חלקה"), סעיפים 1.4, 3.2.2, 3.2.3 (Chunk 1, 3, 4, 6).
*   הוראת ביצוע מס הכנסה מספר 03/2023 – ניתוב שלב א ושינויים בשידור דוחות ושומות יחידים וחברות לשנת המס 2022, סעיף "דוח שהוגש וחסרים בו מסמכים מהותיים-(הנמקה 77)" (Chunk 2).
*   הוראת ביצוע מס הכנסה מספר 07/2025 – ניתוב שלב א ושינויים בשידור דוחות ושומות יחידים וחברות לשנת המס 2024, סעיף "דוח שהוגש וחסרים בו מסמכים מהותיים-(הנמקה 77)" (Chunk 5).</t>
  </si>
  <si>
    <t>הוראת ביצוע מס הכנסה מספר 05_2024 - ניתוב שלב א ושינויים בשידור דוחות ושומות יחידים וחברות לשנת המס 2023.pdf
493-הוראת ביצוע 4.2018 בנושא דוחות חבר בני אדם שהוגשו ללא חוות דעת או עם חוות דעת הסוטה מהנוסח האחיד (חוות דעת לא חלקה).pdf
598-הוראת ביצוע ניתוב שלב א 2022 לאחר סבב.pdf
30-הוראת ביצוע 7.2025 מעודכנת לפרסום ניתוב שלב א לשנת 2024_100425 -_ (003).pdf
הוראת ביצוע מס הכנסה מספר 4_2018 – רשות המסים בנושא_ דוחות חבר בני אדם שהוגשו ללא חוות דעת או עם חוות דעת הסוטה מהנוסח ה.pdf</t>
  </si>
  <si>
    <t>M06-Q04</t>
  </si>
  <si>
    <t>אני מטפל בתיק של נישום המחזיק בזכויות בשותפות נפט. הנישום מבקש כעת לתקן שומה לשנה שכבר התיישנה, בנימוק שתעודת המס של השותפות פורסמה והתקבלה אצלו רק עכשיו. האם עיכוב אובייקטיבי בפרסום תעודת המס מצד השותפות מהווה עילה מספקת לפתיחת השומה הסגורה? אילו סימוכין/מסמכים עליי לבקש?</t>
  </si>
  <si>
    <t>כן, עיכוב אובייקטיבי בפרסום תעודת המס מצד שותפות נפט יכול להוות עילה מספקת לפתיחת שומה שהתיישנה. הוראת ביצוע רשות המיסים מספר 06/2026 קובעת כי פרסום תעודת מס עשוי להתבצע לאחר שהוגש הדוח השנתי ואף לאחר שחלף מועד ההתיישנות של אותו הדוח (סעיף 1.7). במקרים אלו, בקשה לתיקון דוח בשל פרסום תעודת מס ניתן להגיש עד המאוחר מבין מועד ההתיישנות שחל על הדוח כקבוע בסעיפים 145 ו-152 לפקודה, או 120 יום ממועד פרסום תעודת המס (סעיף 2.1.1).
הסימוכין/מסמכים שעליך לבקש הם תעודת המס הסופית או הזמנית שפורסמה על ידי שותפות הנפט, שכן היא מהווה את הבסיס לבקשת תיקון הדוח (סעיף 1.6).</t>
  </si>
  <si>
    <t>הוראת ביצוע רשות המסים מספר 2026_ 06 - בנושא_ טיפול בבקשות לתיקוני שומה בידי מחזיקי יחידות השתתפות של שותפויות לחיפושי .pdf</t>
  </si>
  <si>
    <t>ציון 10</t>
  </si>
  <si>
    <t>M06-Q05</t>
  </si>
  <si>
    <t>כיצד יש לטפל בבקשת נישום לדווח במסלול שוכר-משכיר (10% מס) כאשר אין בידיו חוזה שכירות חתום כדין? האם קיימת פרקטיקה המאפשרת אסמכתאות חלופיות (דפי בנק, תצהיר, חשבונות רשות מקומית)?</t>
  </si>
  <si>
    <t>כאשר נישום מבקש לדווח במסלול שוכר-משכיר (10% מס) ואין בידיו חוזה שכירות חתום כדין, קיימות שתי חלופות עיקריות: הגשת תצהיר חתום בפני עורך דין מטעם המשכיר, או הגשת הצהרה מטעם המייצג (בשם הלקוח/המשכיר). על התצהיר או ההצהרה לכלול את הפרטים הבאים: פרטי הנכס המושכר, פרטי המשכיר והשוכר, תקופת השכירות המדוברת וגובה שכר הדירה החודשי. הנחיה זו נועדה להקל על תהליך הדיווח במקרים של קושי טכני בהצגת החוזה המקורי, תוך שמירה על רמת הפירוט הנדרשת לצורכי המס. האסמכתאות החלופיות המצוינות הן תצהיר או הצהרה, ולא מוזכרות דפי בנק או חשבונות רשות מקומית כחלופה לחוזה עצמו.</t>
  </si>
  <si>
    <t>תוספת 1 להוראת ביצוע 5_2026 מערכת מקוונת לדיווח ותשלום מס על הכנסות מהשכרת נכסים בישראל.pdf
הוראת ביצוע מס הכנסה מספר 5_2026 - רשות המסים בנושא_ מערכת מקוונת לדיווח ותשלום מס על הכנסות מהשכרת נכסים בישראל.pdf</t>
  </si>
  <si>
    <t>M08-Q01</t>
  </si>
  <si>
    <t>מיכאל</t>
  </si>
  <si>
    <t>איך להנפיק אישור לפי סעיף 50 לשותפות?</t>
  </si>
  <si>
    <t>הנפקת אישור לפי סעיף 50 לשותפות תלויה בסוג השותפות:
*   **לשותפות רשומה:** כל שותף בשותפות נדרש להגיש בקשה נפרדת לפקיד השומה שבו מתנהל תיק השותף. פקיד השומה יבדוק אם השותף עומד בכל התנאים לקבלת האישור (כולל דרישת ערובה לפי חלקו). רק אם כל התנאים מתקיימים, יינתן אישור ידני לכל שותף בנפרד. את האישורים הידניים הללו יעבירו הנישומים למיסוי מקרקעין על מנת שהשותפות הרשומה תקבל את הפטור הממוחשב בעסקת המקרקעין. חשוב לציין שאם לאחד השותפים לא ניתן אישור, השותפות הרשומה לא תוכל לקבל פטור על השבח.
*   **לשותפות שאינה רשומה:** העסקה מדווחת על שם כל שותף בנפרד לפי חלקו. במקרה זה, ניתן לתת אישור באמצעות שאילתה 9050 עבור כל אחד מהשותפים בנפרד, ללא צורך במתן אישור ידני.
בנוסף, על מנת לקבל אישור לפרויקט בליווי בנקאי עבור כל אחד מהשותפים, יש לקבל הוראה בלתי חוזרת חתומה על ידי השותפות.</t>
  </si>
  <si>
    <t>הוראת ביצוע מס הכנסה מספר 8_2021 בנושא_ סוגי אישורים, ערובות והקפאות חוב מס שבח במתן אישור לפי סעיף 50 לחוק מיסוי מקרקעי.pdf
397-סוגי אישורים ערובות והקפאות חוב מס שבח במתן אישור לפי סעיף 50 לחוק מיסוי מקרקעין.pdf</t>
  </si>
  <si>
    <t>M08-Q02</t>
  </si>
  <si>
    <t>מיכאל
תשובה נכונה-  מיסוי AI (הוצאות רונן)</t>
  </si>
  <si>
    <t>האם ישות יכולה לדווח על בסיס מזומן בהתאם להוראת ביצוע 8/12</t>
  </si>
  <si>
    <t>תקציר מנהלים
כן, אך לא באופן גורף, ותלוי בראש ובראשונה בסוג הישות. חברות שחלה עליהן חובה לערוך דוחות כספיים חשבונאיים על בסיס מצטבר (כגון חברות שניירות הערך שלהן נסחרים) חייבות לדווח על בסיס מצטבר גם לצורכי מס, וללא אפשרות מעבר לבסיס מזומן. יחידים ועצמאים, לעומת זאת, עשויים להיות זכאים לדווח על בסיס מזומן, בכפוף לעמידה בקריטריונים שנקבעו בחוזרי מס הכנסה 39/93 ו-12/94. בכל מקרה, אם הישות ערכה את הדוחות הכספיים החשבונאיים שלה על בסיס מצטבר, היא אינה רשאית לשנות את בסיס הדיווח למזומן באמצעות דוח ההתאמה לצורכי מס, למעט כאשר קיימת הוראת מס מפורשת לגבי הכנסה מסוימת בלבד. 📄 בסיס דווח לצרכי מס - מזומן או מצטבר (הו"ב מ"ה 8/2012)
השאלה המשפטית
האם ישות רשאית לדווח לצורכי מס על בסיס מזומן בהתאם להוראת ביצוע מס הכנסה 8/2012, ובפרט כאשר הדוחות החשבונאיים שלה ערוכים על בסיס מצטבר, ובהבחנה בין סוגי ישויות שונים.
המסגרת הנורמטיבית
הוראת ביצוע מס הכנסה 8/2012 קובעת שני כללים מצטברים:
דיווח על בסיס מזומן מותנה בעמידה בקריטריונים שנקבעו בחוזרים קודמים - ובהם חוזר מס הכנסה 39/93, חוזר מס הכנסה 12/94, חוזר מס הכנסה 12/2003 וחוזר מס הכנסה 12/2004. 📄 בסיס דווח לצרכי מס - מזומן או מצטבר (הו"ב מ"ה 8/2012)
כאשר החברה ערכה את הדוח הכספי החשבונאי על בסיס מצטבר, לא ניתן לשנות את בסיס הדיווח בדוח ההתאמה לצורכי מס לבסיס מזומן, אלא אם קיימת הוראה מפורשת בדיני המס לגבי הכנסה מסוימת, וביחס להכנסה זו בלבד. 📄 בסיס דווח לצרכי מס - מזומן או מצטבר (הו"ב מ"ה 8/2012)
חוזר מס הכנסה 12/2003 ביטא את עמדת רשות המסים שלפיה, בהיעדר הוראה מפורשת המחייבת דיווח על בסיס מזומן, יש לשמור על בסיס הדיווח המצטבר גם לצורכי מס. בהתאם לכך, אם הדוח הכספי החשבונאי ערוך על בסיס מצטבר, אין לאפשר מעבר לבסיס מזומן במסגרת דוח ההתאמה. עוד נקבע כי דיווח על בסיס מזומן מותנה בכל מקרה בעמידה בהוראות חוזרי מס הכנסה 39/93 ו־12/94. 📄 דיווח בשיטת מזומן או מצטבר – עדכון (מה 12/03)
חוזר מס הכנסה 12/2004 קבע ביחס לגופים שחלה עליהם חובה לערוך דוח רווח והפסד חשבונאי לפי השיטה המצטברת, כגון חברות שניירות הערך שלהן נסחרים, כי אין להתיר מעבר לדיווח על בסיס מזומן. החוזר מוסיף כי חברות שחלה עליהן חובה להגיש דוח חשבונאי על בסיס מצטבר חייבות לדווח על בסיס מצטבר גם לצורכי מס. 📄 דיווח בשיטת מזומן או מצטבר - עדכון (מ"ה 12/04)
מנגד, חוזר מס הכנסה 39/93 קבע כי החל משנת המס 1992 ניתן לאפשר לנישומים המבקשים זאת לעבור לדווח על בסיס מזומן, אם הם עומדים בתנאים שנקבעו באותו חוזר, גם אם מחזור עסקיהם גדול, קיימת אצלם מערכת חייבים וזכאים מסועפת, והם דיווחו בעבר על בסיס מצטבר. המעבר מחייב ביצוע התאמות בהנהלת החשבונות, תוך תשומת לב לכך שלא ייעשה שימוש במעבר לצורך הפחתת מס בלתי ראויה. 📄 מ"ה 39/93 4.8.93 קריטריונים לקביעת צורת הדווח לצרכי מס - בסיס מצטבר או מזומן
ניתוח משפטי
יש להבחין תחילה בין סוג הישות, שכן זו ההבחנה המרכזית הקובעת את מסגרת הניתוח: חברות שחלה עליהן חובה לערוך דוחות כספיים חשבונאיים על בסיס מצטבר (כגון חברות שניירות הערך שלהן נסחרים) חייבות - לפי חוזר מס הכנסה 12/2004 - לדווח על בסיס מצטבר גם לצורכי מס, ללא אפשרות מעבר לבסיס מזומן דרך דוח ההתאמה. לעומתן, יחידים ועצמאים עשויים להיות זכאים לדיווח על בסיס מזומן לצורכי מס, גם אם דיווחו בעבר על בסיס מצטבר ומחזור עסקיהם גדול, ובלבד שהם עומדים בתנאים שנקבעו בחוזרי מס הכנסה 39/93 ו-12/94 ומבצעים את ההתאמות הנדרשות בהנהלת החשבונות.
לאחר קביעת סוג הישות, יש לבחון את יתר התנאים:
אם הישות עומדת בקריטריונים לדיווח על בסיס מזומן, הוראת ביצוע 8/2012 אינה שוללת עקרונית את האפשרות לדווח על בסיס זה. 📄 בסיס דווח לצרכי מס - מזומן או מצטבר (הו"ב מ"ה 8/2012)
אם הדוחות החשבונאיים של הישות ערוכים על בסיס מזומן, ניתן להסיק מהוראת ביצוע 8/2012 כי אין מניעה, לפי ההוראה עצמה, לדווח לצורכי מס על בסיס מזומן, בכפוף לקריטריונים שנקבעו בחוזרים הקודמים. 📄 בסיס דווח לצרכי מס - מזומן או מצטבר (הו"ב מ"ה 8/2012)
אם הדוחות החשבונאיים ערוכים על בסיס מצטבר, הישות אינה רשאית לבצע מעבר לבסיס מזומן באמצעות דוח ההתאמה לצורכי מס. במקרה כזה, החריג הוא הוראת מס מפורשת המתייחסת להכנסה מסוימת בלבד; אין מדובר באישור כללי לישות לדווח על כלל הכנסותיה על בסיס מזומן. 📄 בסיס דווח לצרכי מס - מזומן או מצטבר (הו"ב מ"ה 8/2012)
(הערת אימות: הערת הבודק מציינת כי החריג האמור ("הוראה מפורשת לגבי הכנסה מסוימת") מתייחס באופן ספציפי להכנסות מדמי שכירות ולא להכנסות עסקיות אחרות. ההוראות שאותרו במאגר הוראות הביצוע/חוזרים אינן כוללות ניסוח המבסס זאת באופן ישיר, ולכן נקודה זו מובאת כאן כהערת זהירות בלבד ולא כקביעה נתמכת מקור - יש להימנע מקביעה גורפת יותר מכפי שהמקורות מאפשרים.)
אם מדובר בישות שחלה עליה חובה לערוך דוחות חשבונאיים על בסיס מצטבר, חוזר מס הכנסה 12/2004 קובע כי עליה לדווח על בסיס מצטבר גם לצורכי מס. 📄 דיווח בשיטת מזומן או מצטבר - עדכון (מ"ה 12/04)
באשר לדוחות המתייחסים לשנים עד וכולל שנת המס 2011, הוראת ביצוע 8/2012 מציינת כי תחול המדיניות שנקבעה בהודעה לעיתונות מיום 9 במרץ 2005. עם זאת, הקטעים שאותרו במאגרי מיסים אונליין אינם כוללים את מלוא נוסח ההודעה ואת כל תנאיה, ולכן לא ניתן לפרט את היקפה המדויק על סמך החומר שנמצא. 📄 בסיס דווח לצרכי מס - מזומן או מצטבר (הו"ב מ"ה 8/2012)
מסקנה והמלצות
ישות יכולה לדווח על בסיס מזומן בהתאם להוראת ביצוע 8/2012 רק אם - ראשית - היא אינה חברה המחויבת בדוחות חשבונאיים על בסיס מצטבר, ושנית, היא עומדת בקריטריונים שנקבעו בחוזרים הרלוונטיים (39/93, 12/94), ובתנאי שאינה מנסה להפוך דוח חשבונאי מצטבר לדוח מס על בסיס מזומן באמצעות דוח התאמה.
לפני הגשת הדוח יש לבדוק:
האם הישות היא חברה החייבת בעריכת דוחות חשבונאיים על בסיס מצטבר (ואם כן - אין אפשרות מעבר).
האם הישות עומדת בקריטריונים של חוזרי מס הכנסה 39/93 ו-12/94.
האם הדוחות החשבונאיים שלה ערוכים על בסיס מזומן או מצטבר.
האם מדובר בהכנסה ספציפית שלגביה קיימת הוראת מס מפורשת הקובעת דיווח על בסיס מזומן.</t>
  </si>
  <si>
    <t>📄 בסיס דווח לצרכי מס - מזומן או מצטבר (הו"ב מ"ה 8/2012)
📄 דיווח בשיטת מזומן או מצטבר - עדכון (מ"ה 12/04)
📄 דיווח בשיטת מזומן או מצטבר – עדכון (מה 12/03)
📄 מ"ה 39/93 4.8.93 קריטריונים לקביעת צורת הדווח לצרכי מס - בסיס מצטבר או מזומן</t>
  </si>
  <si>
    <t>תשובת זהב של מיסוי און ליין תוקנה בעזרת claude:
א) הוספת ההבחנה המרכזית והפותחת בין חברות המחויבות בדיווח חשבונאי על בסיס מצטבר (וללא אפשרות מעבר, לפי 12/2004) לבין יחידים/עצמאים שעשויים להיות זכאים לבסיס מזומן לפי 39/93 ו-12/94 - הבחנה שבתשובה המקורית הופיעה רק כאזכור אגבי באמצע הניתוח ולא כמסגרת פותחת כפי שנדרש.
ב) סימון החריג "הוראה מפורשת לגבי הכנסה מסוימת" כלא-מבוסס במקורות שאותרו (במקום להשאירו כללי וסתום בלי הערה), תוך ציון בהערת אימות שהבודק מזהה אותו כנוגע להכנסות שכירות ספציפית - מבלי לצטט מקור חוק, בהתאם למגבלת הוראות ביצוע/חוזרים בלבד.</t>
  </si>
  <si>
    <t>ציון 7 - תשובה המודל לא מדויקת: יש טעות בזיהוי מקור החריג – סעיף 8ב עוסק בהכנסות משכירות (סעיף 2(6)), ולא בהכנסות מסעיפים 2(9)/2(4) כפי שנטען – וכן הציג את הכלל מבלי לבסס את ההבחנה המרכזית שבהוראת ביצוע 8/2012 בין חברות ליחידים. 
תשובה נכונה הייתה צריכה לפתוח בהבחנה בין ישויות המחויבות חברות לבין יחידים/עצמאים שעשויים להיות זכאים לדיווח על בסיס מזומן, ולבסס את הניתוח על נוסח הוראת ביצוע 8/2012 עצמה תוך הפניה מדויקת לסעיף 8ב לפקודה בהקשר של הכנסות משכירות (2(6)) בלבד.</t>
  </si>
  <si>
    <t>תקציר מנהלים
כן, אך לא באופן גורף. לפי הוראת ביצוע 8/2012, דיווח על בסיס מזומן מותנה בעמידה בקריטריונים שנקבעו בחוזרי מס הכנסה קודמים. עם זאת, אם הישות ערכה את הדוחות הכספיים החשבונאיים על בסיס מצטבר, היא אינה רשאית לשנות את בסיס הדיווח למזומן באמצעות דוח ההתאמה לצורכי מס, למעט כאשר קיימת הוראת מס מפורשת לגבי הכנסה מסוימת בלבד. 📄 בסיס דווח לצרכי מס - מזומן או מצטבר (הו"ב מ"ה 8/2012)ציטוט ▼
השאלה המשפטית
האם ישות רשאית לדווח לצורכי מס על בסיס מזומן בהתאם להוראת ביצוע מס הכנסה 8/2012, ובפרט כאשר הדוחות החשבונאיים שלה ערוכים על בסיס מצטבר.
המסגרת הנורמטיבית
הוראת ביצוע מס הכנסה 8/2012 קובעת שני כללים מצטברים:
דיווח על בסיס מזומן מותנה בעמידה בקריטריונים שנקבעו בחוזרים קודמים — ובהם חוזר מס הכנסה 39/93, חוזר מס הכנסה 12/94, חוזר מס הכנסה 12/2003 וחוזר מס הכנסה 12/2004. 📄 בסיס דווח לצרכי מס - מזומן או מצטבר (הו"ב מ"ה 8/2012)ציטוט ▼
כאשר החברה ערכה את הדוח הכספי החשבונאי על בסיס מצטבר, לא ניתן לשנות את בסיס הדיווח בדוח ההתאמה לצורכי מס לבסיס מזומן, אלא אם קיימת הוראה מפורשת בדיני המס לגבי הכנסה מסוימת, וביחס להכנסה זו בלבד. 📄 בסיס דווח לצרכי מס - מזומן או מצטבר (הו"ב מ"ה 8/2012)ציטוט ▼
חוזר מס הכנסה 12/2003 ביטא את עמדת רשות המסים שלפיה, בהיעדר הוראה מפורשת המחייבת דיווח על בסיס מזומן, יש לשמור על בסיס הדיווח המצטבר גם לצורכי מס. בהתאם לכך, אם הדוח הכספי החשבונאי ערוך על בסיס מצטבר, אין לאפשר מעבר לבסיס מזומן במסגרת דוח ההתאמה. עוד נקבע כי דיווח על בסיס מזומן מותנה בכל מקרה בעמידה בהוראות חוזרי מס הכנסה 39/93 ו־12/94. 📄 דיווח בשיטת מזומן או מצטבר – עדכון (מה 12/03)ציטוט ▼
חוזר מס הכנסה 12/2004 קבע ביחס לגופים שחלה עליהם חובה לערוך דוח רווח והפסד חשבונאי לפי השיטה המצטברת, כגון חברות שניירות הערך שלהן נסחרים, כי אין להתיר מעבר לדיווח על בסיס מזומן. החוזר מוסיף כי חברות שחלה עליהן חובה להגיש דוח חשבונאי על בסיס מצטבר חייבות לדווח על בסיס מצטבר גם לצורכי מס. 📄 דיווח בשיטת מזומן או מצטבר - עדכון (מ"ה 12/04)ציטוט ▼
מנגד, חוזר מס הכנסה 39/93 קבע כי החל משנת המס 1992 ניתן לאפשר לנישומים המבקשים זאת לעבור לדווח על בסיס מזומן, אם הם עומדים בתנאים שנקבעו באותו חוזר, גם אם מחזור עסקיהם גדול, קיימת אצלם מערכת חייבים וזכאים מסועפת, והם דיווחו בעבר על בסיס מצטבר. המעבר מחייב ביצוע התאמות בהנהלת החשבונות, תוך תשומת לב לכך שלא ייעשה שימוש במעבר לצורך הפחתת מס בלתי ראויה. 📄 מ"ה 39/93 4.8.93 קריטריונים לקביעת צורת הדווח לצרכי מס - בסיס מצטבר או מזומןציטוט ▼
ניתוח משפטי
התשובה תלויה באופן שבו הישות ערכה את הדוחות החשבונאיים ובשאלה אם היא עומדת בקריטריונים של חוזרי מס הכנסה 39/93 ו־12/94:
אם הישות עומדת בקריטריונים לדיווח על בסיס מזומן, הוראת ביצוע 8/2012 אינה שוללת עקרונית את האפשרות לדווח על בסיס זה. 📄 בסיס דווח לצרכי מס - מזומן או מצטבר (הו"ב מ"ה 8/2012)ציטוט ▼
אם הדוחות החשבונאיים של הישות ערוכים על בסיס מזומן, ניתן להסיק מהוראת ביצוע 8/2012 כי אין מניעה, לפי ההוראה עצמה, לדווח לצורכי מס על בסיס מזומן, בכפוף לקריטריונים שנקבעו בחוזרים הקודמים. 📄 בסיס דווח לצרכי מס - מזומן או מצטבר (הו"ב מ"ה 8/2012)ציטוט ▼
אם הדוחות החשבונאיים ערוכים על בסיס מצטבר, הישות אינה רשאית לבצע מעבר לבסיס מזומן באמצעות דוח ההתאמה לצורכי מס. במקרה כזה, החריג הוא הוראת מס מפורשת המתייחסת להכנסה מסוימת בלבד; אין מדובר באישור כללי לישות לדווח על כלל הכנסותיה על בסיס מזומן. 📄 בסיס דווח לצרכי מס - מזומן או מצטבר (הו"ב מ"ה 8/2012)ציטוט ▼
אם מדובר בישות שחלה עליה חובה לערוך דוחות חשבונאיים על בסיס מצטבר, חוזר מס הכנסה 12/2004 קובע כי עליה לדווח על בסיס מצטבר גם לצורכי מס. 📄 דיווח בשיטת מזומן או מצטבר - עדכון (מ"ה 12/04)ציטוט ▼
באשר לדוחות המתייחסים לשנים עד וכולל שנת המס 2011, הוראת ביצוע 8/2012 מציינת כי תחול המדיניות שנקבעה בהודעה לעיתונות מיום 9 במרץ 2005. עם זאת, הקטעים שאותרו במאגרי מיסים אונליין אינם כוללים את מלוא נוסח ההודעה ואת כל תנאיה, ולכן לא ניתן לפרט את היקפה המדויק על סמך החומר שנמצא. 📄 בסיס דווח לצרכי מס - מזומן או מצטבר (הו"ב מ"ה 8/2012)ציטוט ▼
מסקנה והמלצות
ישות יכולה לדווח על בסיס מזומן בהתאם להוראת ביצוע 8/2012 רק אם היא עומדת בקריטריונים שנקבעו בחוזרים הרלוונטיים, ובתנאי שאינה מנסה להפוך דוח חשבונאי מצטבר לדוח מס על בסיס מזומן באמצעות דוח התאמה.
לפני הגשת הדוח יש לבדוק:
האם הישות עומדת בקריטריונים של חוזרי מס הכנסה 39/93 ו־12/94.
האם הדוחות החשבונאיים שלה ערוכים על בסיס מזומן או מצטבר.
האם חלה עליה חובה לערוך דוחות חשבונאיים על בסיס מצטבר.
האם מדובר בהכנסה ספציפית שלגביה קיימת הוראת מס מפורשת הקובעת דיווח על בסיס מזומן.
הערות וסייגים
על סמך מאגרי מיסים אונליין, הקטעים שאותרו אינם כוללים את מלוא הקריטריונים המפורטים בחוזר מס הכנסה 12/94 ואת מלוא נוסח ההודעה לעיתונות לגבי שנות המס עד וכולל 2011. לכן לא ניתן לקבוע אם ישות מסוימת זכאית לדווח על בסיס מזומן בלי פרטים על סוג פעילותה, אופן עריכת דוחותיה והחובות החשבונאיות החלות עליה.</t>
  </si>
  <si>
    <t>📄 בסיס דווח לצרכי מס - מזומן או מצטבר (הו"ב מ"ה 8/2012)
ציטוט ▼
📄 דיווח בשיטת מזומן או מצטבר - עדכון (מ"ה 12/04)
ציטוט ▼
📄 דיווח בשיטת מזומן או מצטבר – עדכון (מה 12/03)
ציטוט ▼
📄 מ"ה 39/93 4.8.93 קריטריונים לקביעת צורת הדווח לצרכי מס - בסיס מצטבר או מזומן
ציטוט ▼</t>
  </si>
  <si>
    <t>בהתאם להוראת ביצוע מס' 8/2012, ככלל, אם ישות ערכה דוח כספי חשבונאי על בסיס מצטבר לפי כללי חשבונאות מקובלים, לא ניתן לשנות את בסיס הדיווח בדוח ההתאמה לצרכי מס לבסיס מזומן. עם זאת, קיימים חריגים:
1. אם קיימת הוראה מפורשת בדיני המס לעניין הכנסה מסוימת, אזי ניתן לדווח על בסיס מזומן בהתייחס לאותה הכנסה בלבד (לדוגמה, הכנסות מסעיפים 2(9) או 2(4) ששולמו מראש, ידווחו על בסיס מזומן מכוח סעיף 8ב לפקודה).
2. לגבי דוחות על ההכנסות שהוגשו עבור שנות המס עד וכולל 2011, תחול מדיניות מיוחדת שנקבעה בהודעה לעיתונות ממרץ 2007, אשר אפשרה במקרים מסוימים דיווח על בסיס מזומן (לדוגמה, לחברות שירותים ללא מלאי עד שנת המס 2010).</t>
  </si>
  <si>
    <t>בסיס דווח לצרכי מס - מזומן או מצטבר 08_2012.pdf
408-הוראת ביצוע מס הכנסה מס 82012 - רשות המסים בנושא בסיס דווח לצרכי מס – מזומן או מצטבר .pdf</t>
  </si>
  <si>
    <t>M08-Q03</t>
  </si>
  <si>
    <t>האם בקשה לתיקון דוח כתוצאה משינוי של מסלול מס בהשכרת דירות מהווה תיקון מהותי.</t>
  </si>
  <si>
    <t>כן, בקשה לתיקון דוח כתוצאה משינוי של מסלול מס בהשכרת דירות מהווה תיקון מהותי.
תיקון מהותי מוגדר בהוראת ביצוע מס הכנסה 3/2018 כתיקון המשפיע על ההכנסה החייבת המוצהרת או על חבות המס, וכולל שינוי בנקיטת עמדה מסוימת באשר לאופן, לעיתוי דיווח או לסיווג של מרכיבי ההכנסה החייבת, כאשר הנישום נוקט עמדה חדשה ושונה מזו שננקטה בדוח המקורי. שינוי מסלול המס שבו מדווחת הכנסה משכירות דירות (למשל, מעבר בין מסלולי המיסוי השונים החלים על הכנסה כזו) הוא בדיוק סוג השינוי הזה - שינוי עמדה לגבי אופן הדיווח וחישוב חבות המס על אותה הכנסה - ולכן נכנס להגדרת "תיקון מהותי", להבדיל מ"תיקון טכני" שאינו מצריך שיקול דעת של פקיד השומה ואינו מצריך בדיקה שומתית לגבי עצם הזכאות לתיקון (למשל, השלמת מסמכים או תיקון טעות חשבונאית).
אופן הטיפול בבקשה (הרובד האופרטיבי):
לאחר שהבקשה סווגה כתיקון מהותי, הטיפול בה מתבצע בהתאם להוראות הפרק העוסק ב"אופן הטיפול בבקשה": הבקשה צריכה להיות מוגשת כשהיא מפורטת ומנומקת, ולכלול את מלוא הפרטים הנדרשים לבחינתה. בהתקיים התנאים המאפשרים את התיקון - משודר הדוח מחדש לאחר תיקונו. ההשלכה המעשית המרכזית של סיווג הבקשה כ"מהותית" (להבדיל מטכנית) היא לעניין מועד ההגשה הרשמי של הדוח: בעוד שבתיקון טכני אין לשנות את מועד הגשת הדוח המקורי, בתיקון מהותי יש לשנות את תאריך הגשת הדוח השנתי לתאריך הגשת בקשת התיקון עצמה. משמעות הדבר היא שעם שידור התיקון ושינוי תאריך ההגשה, עלולים להיות מוטלים על הנישום קנסות בשל אי-הגשת הדוח במועד (בהתייחס למועד המקורי שנדרש).</t>
  </si>
  <si>
    <t>הוראת ביצוע מס הכנסה מספר 3_2018 בנושא_ אופן הטיפול בבקשת נישום לתיקון דו_ח על ההכנסות שהוגש על ידו לפקיד השומה.pdf
628-הוראת ביצוע 3.2018 בנושא אופן הטיפול בבקשת נישום לתיקון דוח על ההכנסות שהוגש על ידו לפקיד השומה.pdf</t>
  </si>
  <si>
    <t>תשובת זהב של RAG תוקנה בעזרת claude:
א) הוספת פרק חדש שהתשובה המקורית השמיטה לחלוטין - "אופן הטיפול בבקשה" (סעיף 4 להוראת ביצוע 3/2018): דרישות הגשת הבקשה (מפורטת ומנומקת) ותהליך שידור הדוח מחדש לאחר אישור התיקון, בהתאם להערת הבודק.
ב) הוספת ההשלכה האופרטיבית המרכזית של סיווג הבקשה כתיקון מהותי - שינוי מועד ההגשה הרשמי של הדוח לתאריך הגשת בקשת התיקון, על החשיפה האפשרית לקנסות איחור הנגזרת מכך - נקודה שלא הופיעה כלל בתשובה המקורית.</t>
  </si>
  <si>
    <t>ציון 9.7 -אפשר להוסיף התייחסות לאופן הטיפול הטכני</t>
  </si>
  <si>
    <t>כן. בקשה לתיקון דוח בעקבות שינוי מסלול המס בהשכרת דירות היא תיקון מהותי, ולא תיקון טכני.
לפי הוראת ביצוע מס הכנסה 3/2018, תיקון מהותי כולל:
“שינוי בנקיטת עמדה מסוימת מכל סיבה שהיא, באשר לאופן, לעיתוי דיווח או לסיווג באשר למי מרכיביה של ההכנסה החייבת. כשהנישום נוקט עמדה חדשה, שונה מזו שננקטה בדו"ח המקורי, ביחס לאותן נסיבות, מכל טעם שהוא.” 📄 אופן הטיפול בבקשת נישום לתיקון דו"ח על ההכנסות שהוגשו על ידו לפקיד השומה (הו"ב מ"ה 3/2018)ציטוט ▼
בחירת מסלול מס שונה בהכנסות מהשכרת דירות — למשל מעבר בין מסלול הפטור, המסלול המופחת והמסלול הרגיל — היא נקיטת עמדה מיסויית חדשה ביחס לאותן נסיבות, ובדרך כלל משפיעה גם על ההכנסה החייבת או על חבות המס. לכן היא נכנסת להגדרת תיקון מהותי לפי הוראת הביצוע. 📄 אופן הטיפול בבקשת נישום לתיקון דו"ח על ההכנסות שהוגשו על ידו לפקיד השומה (הו"ב מ"ה 3/2018)ציטוט ▼
בהתאם להוראה, בקשה כזו אינה מטופלת כתיקון טכני שגרתי; תיקון מהותי מועבר לבחינת רכז החוליה, והמשך הטיפול בו נתון לשיקול דעתו. 📄 אופן הטיפול בבקשת נישום לתיקון דו"ח על ההכנסות שהוגשו על ידו לפקיד השומה (הו"ב מ"ה 3/2018)ציטוט ▼</t>
  </si>
  <si>
    <t xml:space="preserve"> אופן הטיפול בבקשת נישום לתיקון דו"ח על ההכנסות שהוגשו על ידו לפקיד השומה (הו"ב מ"ה 3/2018)
ציטוט ▲
הוראות בצוע -מס הכנסה ה"ב 3/18 – 8.1.18 – אופן הטיפול בבקשת נישום לתיקון דו"ח על ההכנסות שהוגשו על ידו לפקיד השומה מיסים לב/1 ג-18 כ"א טבת תשע"ח 8 ינואר, 2018 הוראת ביצוע מס הכנסה מספר 3/2018 - רשות המסים הנושא: אופן הטיפול בבקשת נישום לתיקון דו"ח על ההכנסות שהוגש על ידו לפקיד השומה תוכן עניינים 1. רקע כללי 2. סקירת הפסיקה לעניין תיקוני דו"חות 3. מעמד בקשת נישום לתיקון דו"ח שנתי שהוגש על ידו לפקיד השומה 3.1 סוגי תיקוני דו"חות והמבחנים לקבלתם: 3.2 מקרים בהם לא ניתן להגיש דו"ח מתקן 3.3 השלכות נוספות אפשריות 4. קליטת הבקשה לתיקון דו"ח על ידי פקיד השומה - השלכות והנחיות לפעולה 4.1 אופן הגשת בקשה</t>
  </si>
  <si>
    <t>כן, בקשה לתיקון דוח כתוצאה משינוי של מסלול מס בהשכרת דירות מהווה תיקון מהותי. תיקון מהותי מוגדר כתיקון המשפיע על ההכנסה החייבת המוצהרת או על חבות המס, וכולל שינוי בנקיטת עמדה מסוימת באשר לאופן, לעיתוי דיווח או לסיווג של מרכיבי ההכנסה החייבת, כאשר הנישום נוקט עמדה חדשה ושונה מזו שננקטה בדו"ח המקורי.</t>
  </si>
  <si>
    <t>M09-Q01</t>
  </si>
  <si>
    <r>
      <rPr>
        <rFont val="Arial"/>
        <color/>
        <sz val="10.0"/>
      </rPr>
      <t xml:space="preserve">רוני
</t>
    </r>
    <r>
      <rPr>
        <rFont val="Arial"/>
        <b/>
        <color/>
        <sz val="10.0"/>
      </rPr>
      <t>תשובה נכונה-  מיסוי AI (הוצאות רונן)</t>
    </r>
  </si>
  <si>
    <t>חברה שנידונה אצלי בחוליה נרכשה על ידי חברה זרה. החברה הרוכשת משלמת את כספי התמורה לבעלי מניות תושבי חוץ. מי הגורם המנפיק את האישור עבור העברה לחול? הכסף עובר דרך נאמן ישראלי ולכן נדרש אישור</t>
  </si>
  <si>
    <t>שאלת סף - האם בכלל קיימת חובת ניכוי מס במקור
לפני בירור זהות הגורם המנפיק, יש לבחון תחילה אם התשלום לבעלי המניות תושבי החוץ נכנס כלל למסגרת "תשלומים שהעברתם לתושב חוץ מותרת בלא ניכוי מס במקור" - נושא המוקדש לו פרק שלם (סעיף 3, עמ' 4-6) בהוראת ביצוע 34/93. בחינה זו כוללת, בין היתר, את תנאי התושבות של מקבלי התמורה, את שיעור ההחזקה שלהם במניות, ואת סוג הנכס שנמכר. רק אם מתברר שהתשלום אינו נכנס לגדר אחד מהחריגים המתירים תשלום ללא ניכוי, עולה השאלה של זהות הגורם המנפיק את האישור לביצוע ההעברה בפועל.
(הערת אימות: לא אימתתי בשיחה זו את נוסח הסעיפים הספציפיים בפרק 3 להוראת ביצוע 34/93 העוסקים בתנאי הפטור למכירת מניות/רווח הון על-ידי תושב חוץ - הפרק קיים ומוקדש לנושא זה, אך התוכן המדויק (תנאי תושבות, שיעור החזקה) טרם נבדק מול הטקסט המלא. יש לוודא זאת מול נוסח ההוראה בטרם הכרעה סופית בתיק הקונקרטי.)
זיהוי הגורם המנפיק (בהנחה שלא חל פטור מניכוי)
בהנחה שנקבע כי חלה חובת ניכוי מס במקור על התשלום, הגורם המנפיק את האישור תלוי בשאלה אם לבעלי המניות תושבי החוץ יש קוד ישות/תיק בישראל:
כאשר מדובר באישור ביחס לתמורה בגין מכירת מניות או רווח הון - הוראת ביצוע 34/93 קובעת כי האישור יונפק על ידי מחלקת הניכויים בנציבות מס הכנסה. הבקשה מופנית למחלקת הניכויים, לאחר התייעצות עם פקיד השומה. 📄 ה"ב 34/93 30.5.93 ניכוי מס במקור מתשלומים לתושבי חוץ
כאשר בעלי המניות תושבי החוץ חסרי קוד ישות - לפי הוראת ביצוע מ"ה 2/26, האישור יופק במשרד השומה, ולא במסגרת ההפקה המרוכזת, וזאת לאחר קבלת אישור מהרפרנט המקצועי ובהתאם להנחיות המחלקה למיסוי בינלאומי בחטיבה המקצועית. 📄 אישורי ניכוי מס במקור ואישורים לפי חוק עסקאות גופים ציבוריים לשנת המס 2026 (הו"ב מ"ה 2/26)
לכן, במקרה שתיארת, אם בעלי המניות הזרים הם חסרי קוד ישות - יש לפנות למשרד השומה לצורך הנפקת האישור, לאחר אישור הרפרנט המקצועי. אם יש להם קוד ישות והאישור נדרש בשל רווח הון ממכירת המניות, הגורם המנפיק לפי הוראת ביצוע 34/93 הוא מחלקת הניכויים בנציבות מס הכנסה.
העובדה שהתמורה מוחזקת או מועברת באמצעות נאמן ישראלי אינה משנה כשלעצמה את זהות הגורם המנפיק; היא הסיבה המעשית לכך שנדרש כלל אישור לביצוע ההעברה (הנאמן, כגורם מנכה/מעביר כספים, נדרש לאישור לפני שחרור הכספים) - אך זאת רק לאחר שנקבע כי לא חל פטור מניכוי מלכתחילה.
(הערת אימות נוספת: קיימת אינדיקציה מקצועית (שאינה מבוססת כאן ממקור הוראת ביצוע ישיר) לפיה בתיקי רכישת מניות חברה ישראלית על-ידי גורם זר, מעורבות החטיבה המקצועית בהליך האישור עשויה להיות רחבה יותר ממה שמצוין לעיל - מעבר לתפקידה בנתיב "חסרי קוד ישות" בלבד. לא אותר בשיחה זו מקור הוראת-ביצוע/חוזר נוסף המאשר או שולל זאת, ולכן הנקודה מובאת כפתוחה ולא כהכרעה.)
מסקנה מעשית
יש לבדוק תחילה אם התשלום לבעלי המניות תושבי החוץ פטור מניכוי מס במקור, בהתאם לתנאים הנדונים בפרק "תשלומים המותרים בלא ניכוי" בהוראת ביצוע 34/93 - כולל תושבות מקבלי התמורה ושיעור ההחזקה.
אם לא חל פטור: יש לברר אם לבעלי המניות הזרים קוד ישות/תיק בישראל.
אם יש קוד ישות - הפנייה היא למחלקת הניכויים בנציבות מס הכנסה, לאחר התייעצות עם פקיד השומה.
אם אין קוד ישות - הפנייה היא למשרד השומה, לאחר קבלת אישור מהרפרנט המקצועי ובהתאם להנחיות המחלקה למיסוי בינלאומי בחטיבה המקצועית.
מעורבות הנאמן הישראלי היא הטעם המעשי לדרישת האישור, ואינה משנה את זהות הגורם המוסמך.</t>
  </si>
  <si>
    <t>ה"ב 34/93 30.5.93 - ניכוי מס במקור מתשלומים לתושבי חוץ
 אישורי ניכוי מס במקור ואישורים לפי חוק עסקאות גופים ציבוריים לשנת המס 2026 (הו"ב מ"ה 2/26)</t>
  </si>
  <si>
    <t>תשובת זהב של מיסוי און ליין תוקנה בעזרת claude:
א) הוספת שאלת סף חסרה - בדיקת אפשרות פטור מחובת ניכוי מס במקור (לפי תנאי תושבות והחזקה, בהתאם לפרק "תשלומים המותרים בלא ניכוי" בהוראת ביצוע 34/93) לפני המעבר לשאלת זהות הגורם המנפיק - התשובה המקורית הניחה כחובת ניכוי קיימת מבלי לבחון זאת כלל, בדיוק כפי שנעשה בתשובת ה-RAG שקיבלה ציון 1.
ב) סימון פער אימות פתוח לגבי מידת מעורבות החטיבה המקצועית בהליך האישור מעבר לנתיב "חסרי קוד ישות" בלבד, מבלי לקבוע הכרעה שאינה נתמכת במקור הוראת-ביצוע קונקרטי.</t>
  </si>
  <si>
    <t xml:space="preserve">ציון 1 - מודל טעה בזיהוי הגורם המוסמך – ציין "משרדי השומה" בעוד שבמקרה של רכישת מניות חברה ישראלית ע"י גורם זר הגורם המנפיק הוא המחלקה המקצועית, ומעבר לכך התעלם לחלוטין משאלת הסף המכרעת: האם בכלל חלה חובת ניכוי מס במקור, לאור פטור אפשרי לפי סעיף 97(ב) לפקודה לתושב חוץ במכירת מניות. 
תשובה נכונה הייתה צריכה לפתוח בבדיקת תחולת הפטור לפי סעיף 97(ב) (תנאי תושבות, שיעור החזקה וסוג הנכס), ורק בהיעדר פטור לעבור לזיהוי הגורם המנפיק את האישור – המחלקה המקצועית, ולא משרדי השומה. </t>
  </si>
  <si>
    <t>הגורם המנפיק תלוי בשאלה אם לבעלי המניות תושבי החוץ יש קוד ישות/תיק בישראל:
כאשר מדובר באישור ביחס לתמורה בגין מכירת מניות או רווח הון – הוראת ביצוע 34/93 קובעת כי האישור יונפק על ידי מחלקת הניכויים בנציבות מס הכנסה. הבקשה מופנית למחלקת הניכויים, לאחר התייעצות עם פקיד השומה 📄 ה"ב 34/93 30.5.93 ניכוי מס במקור מתשלומים לתושבי חוץציטוט ▼.
כאשר בעלי המניות תושבי החוץ חסרי קוד ישות – לפי הוראת ביצוע מ"ה 2/26, האישור יופק במשרד השומה, ולא במסגרת ההפקה המרוכזת, וזאת לאחר קבלת אישור מהרפרנט המקצועי ובהתאם להנחיות המחלקה למיסוי בינלאומי בחטיבה המקצועית 📄 אישורי ניכוי מס במקור ואישורים לפי חוק עסקאות גופים ציבוריים לשנת המס 2026 (הו"ב מ"ה 2/26).
לכן, במקרה שתיארת, אם בעלי המניות הזרים הם חסרי קוד ישות – יש לפנות למשרד השומה לצורך הנפקת האישור, לאחר אישור הרפרנט המקצועי. אם יש להם קוד ישות והאישור נדרש בשל רווח הון ממכירת המניות, הגורם המנפיק לפי הוראת ביצוע 34/93 הוא מחלקת הניכויים בנציבות מס הכנסה.
העובדה שהתמורה מוחזקת או מועברת באמצעות נאמן ישראלי אינה משנה כשלעצמה את זהות הגורם המנפיק; היא רק מסבירה מדוע נדרש אישור לצורך ביצוע ההעברה.</t>
  </si>
  <si>
    <t xml:space="preserve">אישורי ניכוי מס במקור ואישורים לפי חוק עסקאות גופים ציבוריים לשנת 2026 (הו"ב מ"ה 2/26):
אישורי ניכוי מס במקור לתושבי חוץ וחברות זרות בשל העובדה כי נמצא שנעשה שימוש לרעה באישורי ניכוי מס במקור הניתנים לתושבי חוץ וחברות תושבות חוץ, לא יופקו במהלך המרוכז אישורים לתושבי חוץ ולחברות זרות המפורטים להלן: יחידים תושבי חוץ שהינם חסרי קוד ישות (מספר התיק שלהם הינו 6600XXXXX );חברות תושבות חוץ (חברות זרות) שהינן חסרות קוד ישות (מספר התיק שלהן הינו 50040XXX );נאמנויות שמספר תיקן הוא 50200XXX . במקרים המפורטים לעיל יופקו אישורי ניכוי מס במקור לתושבי חוץ וחברות תושבות חוץ רק במשרדי השומה ולאחר מתן אישור מאת הרפרנט המקצועי, לפי הנחיות המחלקה למיסוי בינלאומי בחטיבה המקצועית. 17. אישורים לחברות
ה"ב 34/93 30.5.93 — ניכוי מס במקור מתשלומים לתושבי חוץ
הוראות בצוע - מס הכנסה ה"ב 34/93 30.5.93 ניכוי מס במקור מתשלומים לתושבי חוץ מיסים ז/4 ג-50 י' בסיון תשנ"ג 30 במאי 1993 (049) אל: תפוצה א', נצ'(2), ב'(3), ג'(1), ד'(1), ו' לבצוע/לידיעה - פקידי השומה, רכזי חוליות בשומה ובניכויים הוראת ביצוע מס' 34/93 ניכויים/משפטית/מקצועית/שומה הנדון: ניכוי מס במקור מתשלומים לתושבי חוץ הוראה זו מחליפה את הוראת בצוע 43/92 והיא עוסקת בנושאים הבאים: סעיף עמוד ---- ---- 1. כללי 3-2 2. העברות לתושבי חוץ על ידי בנקים 3 3. תשלומים שהעברתם לתושב חוץ מותרת בלא ניכוי מס במקור 6-4 4. הנפקת אישורים על ידי רואה חשבון מורשה 8-7 5. הנפקת אישורים על-ידי משרדי השומה 8 6. הנפקת
</t>
  </si>
  <si>
    <t>הגורם המנפיק את אישורי ניכוי המס במקור לתושבי חוץ וחברות זרות, הנדרשים לצורך העברת כספים לחו"ל, הוא משרדי השומה. אישורים אלו מופקים לאחר קבלת אישור מהרפרנט המקצועי ומהמחלקה למיסוי בינלאומי בחטיבה המקצועית.</t>
  </si>
  <si>
    <t>הוראת ביצוע מס הכנסה מס_ 2_2020 בנושא_ אישורי ניכוי מס במקור ואישורים לפי חוק עסקאות גופים ציבוריים לשנת המס 2020.pdf</t>
  </si>
  <si>
    <t>M09-Q04</t>
  </si>
  <si>
    <t>רוני</t>
  </si>
  <si>
    <t>האם ניתן לתת טופס 50 לחברה שסוחרת באופציות במקרקעין? הסבר ונמק תוך ציטוט הוראת/הוראות הביצוע הרלוונטיות והפסקה/פסקאות הרלוונטיות.</t>
  </si>
  <si>
    <t>על פי הוראות הביצוע שהוצגו, לא ניתן לתת טופס 50 לחברה שסוחרת באופציות במקרקעין. הוראות הביצוע מתייחסות באופן מפורש לקבלנים בונים המוכרים דירות מגורים או שטחי מסחר ממלאי עסקי, ומדווחים על הכנסותיהם ממכירת בניינים בהתאם לסעיף 8(א) לפקודת מס הכנסה.
**הסבר ונימוק:**
1.  **הגדרת הזכאים לטופס 50:** הוראת ביצוע מס' 2/2010 (מצוטטת ב-retrieval_index 1 ו-2) קובעת במפורש כי אישורים לפי סעיף 50 לחוק מיסוי מקרקעין (טופס 50) ניתנים אך ורק לנישום שהוא "קבלן בניין הבונה למלאי עסקי, ומדווח על הכנסותיו ממכירות בהתאם לסעיף 8(א)(ג) לפקודה" (retrieval_index 2, סעיף 4.5). חברה הסוחרת באופציות במקרקעין אינה עונה להגדרה זו של "קבלן בניין הבונה למלאי עסקי".
2.  **סוג הנכסים המזכים:** סעיף 4.5 בהוראת ביצוע מס' 2/2010 (retrieval_index 2) מפרט מה נחשב ל"מלאי עסקי" לעניין זה: "א. דירות מגורים, לרבות שטחי חניה, חדרי חשמל ומחסנים הצמודים לאותן דירות בבניין שכולו דירות מגורים. ב. שטחי מסחר אשר נמכרו תוך 3 שנים מיום סיום בנייתם". אופציות במקרקעין אינן נכללות בהגדרה זו של מלאי עסקי.
3.  **הצהרת החברה בבקשה לטופס 50:** בטופס הבקשה לטופס 50 (נספח א' ו-ב' להוראת ביצוע מס' 2/2010, מצוטט ב-retrieval_index 1), החברה נדרשת להצהיר כי היא "קבלן בונה ומדווחת על הכנסותיה ממכירת בניינים בהתאם לסעיף 8(א) לפקודת מס הכנסה" וכי היא "איננה איגוד מקרקעין". חברה הסוחרת באופציות אינה עונה על הצהרות אלו.
**סיכום:** הוראות הביצוע מתמקדות בפעילות קבלנית של בנייה ומכירת נכסים פיזיים (דירות ושטחי מסחר) ממלאי עסקי, ולא בפעילות של סחר באופציות במקרקעין.</t>
  </si>
  <si>
    <t>אישורים כלליים לפי סעיף ‎50 לחוק מיסוי מקרקעין -דירות מגורים (תוספת להוראות ביצוע ‎83_85 ו - ‎90_17)- 14_2003.pdf
הקפאות חוב מס שבח, סוגי אישורים לפי סעיף 50 לחוק מיסוי מקרקעין, וערובות במתן טופס 50-02_2010.pdf</t>
  </si>
  <si>
    <t>M09-Q05</t>
  </si>
  <si>
    <t>נאמנות שהוקמה לפני שנת 2014, כאשר היוצר עלה לישראל לפני 2014 כתושב חוזר ותיק - האם הנאמנות זכאית להטבות המס של היוצר? מהו סיווג הנאמנות, אירועי המס וחובות הדיווח? הסבר ונמק תוך ציטוט פקודת מס הכנסה/חוזרים/הוראות ביצוע.</t>
  </si>
  <si>
    <t>נאמנות שהוקמה לפני שנת 2014 על ידי יוצר שעלה לישראל לפני 2014 כתושב חוזר ותיק, זכאית להטבות המס של היוצר, בעיקר בכל הנוגע לפטורים מחובות דיווח על הכנסות ונכסים מחוץ לישראל.
**1. סיווג הנאמנות:**
*   אם היוצר היה תושב חוץ בעת יצירת הנאמנות, היא סווגה במקור כ"נאמנות יוצר תושב חוץ" (לפי הדין שקדם לתיקון 197 לפקודה, שנכנס לתוקף ב-1.1.2014). (מקור: חוזר מס הכנסה מס' 3/2016, סעיף 7.1.1, רכיב 0)
*   כאשר היוצר הפך ל"יחיד מוטב" (תושב חוזר ותיק) לפני 2014, הנאמנות הופכת ל"נאמנות תושבי ישראל" בהתאם לסעיף 15ז(ה) לפקודה. (מקור: תוספת להוראת ביצוע מס הכנסה 1/2010, רכיבים 1, 2)
*   החל מ-1.1.2014, תיקון 197 שינה את ההגדרות, ובמסגרתו בוטל המעמד של "נאמנות יוצר תושב חוץ" והוגדרה "נאמנות תושבי חוץ". עם זאת, במקרה הנדון, השינוי בתושבות היוצר קדם לתיקון זה. (מקור: חוזר מס הכנסה מס' 3/2016, סעיף 7.1.3, רכיב 0; סעיף 5.1.2.1, רכיב 6)
**2. זכאות להטבות המס של היוצר:**
*   "יחיד מוטב" (תושב ישראל לראשונה ותושב חוזר ותיק, כהגדרתם בסעיף 14א לפקודה) פטור מדיווח על הכנסות ונכסים מחוץ לישראל למשך 10 שנים ממועד עלייתו או חזרתו לישראל ("תקופת ההטבה"). (מקור: תוספת להוראת ביצוע מס הכנסה 1/2010, רכיבים 1, 2)
*   במקרים בהם נאמנות הפכה ל"נאמנות תושבי ישראל" לאחר שיוצר אחד בה היה ל"יחיד מוטב" (סעיף 15ז(ה) לפקודה), לא תקום חובה להגיש דוח שנתי על הכנסות הנאמנות או דוח על הון ונכסי הנאמנות, לגבי הכנסות ונכסים מחוץ לישראל בלבד, במשך תקופת ההטבה. (מקור: תוספת להוראת ביצוע מס הכנסה 1/2010, רכיבים 1, 2)
**3. אירועי המס:**
*   המעבר של הנאמנות לסיווג של "נאמנות תושבי ישראל" בעקבות הפיכת היוצר ל"יחיד מוטב" משמעו שהכנסותיה ונכסיה של הנאמנות עשויים להיות כפופים לדיני המס הישראליים. עם זאת, הפטור מדיווח על הכנסות ונכסים מחוץ לישראל למשך 10 שנים, כפי שצוין לעיל, משליך גם על חבות המס בפועל על הכנסות אלו בתקופה זו. (מקור: תוספת להוראת ביצוע מס הכנסה 1/2010, רכיבים 1, 2)
**4. חובות הדיווח:**
*   לגבי חובת הגשת הודעה על יצירת נאמנות או הקניית נכס לנאמנות על ידי "יחיד מוטב", והודעה על שינוי סוג של נאמנות ל"נאמנות תושבי ישראל" בעקבות עלייתו או חזרתו של "יחיד מוטב" לישראל, הוסדרו פטורים מפורשים מחובת מתן הודעות כאמור במסגרת סעיפים 15טז(1א), 15טז(1ג)(3) ו-15טז(3א)(3) לפקודה. (מקור: תוספת להוראת ביצוע מס הכנסה 1/2010, רכיבים 1, 2)
*   עם זאת, "יחיד מוטב" שיצר נאמנות לפני חזרתו או עלייתו לישראל, חייב בהגשת הודעה (טופס 147) על הכנסות ונכסים מחוץ לישראל שהיו קיימים בנאמנות במועד החזרה או העלייה, וכן על נכסים והכנסות שהוקנו לנאמנות במהלך תקופת ההטבה. הודעה זו תוגש עד 30.4 של השנה שלאחר תום תקופת ההטבה, או במועד הגשת הדוח לפי סעיף 131 לפקודה אם חלה עליו חובה כזו. (מקור: הוראת ביצוע מס הכנסה מס' 1/2010, סעיף 3.9.1.2, רכיב 3)
*   חובת דיווח דומה קיימת גם לגבי נכסים והכנסות בישראל שהיו קיימים בנאמנות במועד החזרה/עלייה, או שהוקנו לנאמנות במהלך תקופת ההטבה. (מקור: הוראת ביצוע מס הכנסה מס' 1/2010, סעיף 3.9.1.2, רכיב 3)</t>
  </si>
  <si>
    <t>187-חוזר מ.ה 3.16 - מיסוי נאמנויות.pdf
630-תוספת 1 להוב 1-2010 - נאמנויות - לאחר תיקונים- לפרסום3 3 2015 doc A.pdf
תוספת מס_ 1 להוראת ביצוע מס הכנסה מס_ 1-2010 דיווחים בנושא נאמנויות, קליטה וטיפול במשרדי השומה – בעקבות תיקון 197 לפקודה.pdf
387-הוב מס הכנסה מספר 1.2010 דיווחים בנושא נאמנויות קליטה וטיפול במשרדי השומה.pdf</t>
  </si>
  <si>
    <t>M05-Q02</t>
  </si>
  <si>
    <t>ינון תתר</t>
  </si>
  <si>
    <t>בעסקת רווח הון הכוללת תמורה מותנית, מהו המועד המדויק למיסוי - במועד קבלת התמורה בפועל, במועד ההעברה לנאמן, במועד הזכאות, או מועד אחר? הסבר ונמק תוך ציטוט מפורש של הוראת/הוראות הביצוע, לרבות הפניה לפסיקה רלוונטית ככל שקיימת.</t>
  </si>
  <si>
    <t>תקציר מנהלים
התשובה תלויה בשני צירים: (א) האם מדובר בתמורה ודאית שהופקדה בנאמנות, או בתמורה מותנית במובן המהותי של המונח; (ב) אם מותנית - האם נבחר מסלול ברירת המחדל או מסלול הדיווח החלופי. תמורה ודאית המופקדת בנאמנות ממוסה במועד המכירה ללא קשר למועד שחרורה מהנאמנות. תמורה מותנית, כברירת מחדל, ממוסה גם היא במועד המכירה (תוך 30 יום). רק אם נבחר מסלול הדיווח החלופי, ורק אם התמורה עומדת בתנאי הכשירות למסלול זה, נדחה מועד חישוב המס (לא מועד המכירה עצמו) למועד שבו התמורה המותנית שולמה בפועל או הפכה לוודאית - לפי המוקדם מבין השניים.
הבחנה מקדימה: תמורה ודאית מול תמורה מותנית
החוזר מבחין מפורשות בין שני מקרים: "תמורה עתידית" - תמורה בסכום קבוע וידוע מראש, שרק מועד תשלומה נדחה (לרבות תמורה שהופקדה בנאמנות להבטחת מצגים) - לבין "תמורה מותנית" - תמורה שעצם קיומה ו/או גובהה תלויים בהתרחשות אירוע עתידי לא ודאי. 📄 עסקה למכירת זכויות בתאגיד הכוללת תמורות שיועברו למוכר במועדים עתידיים (חוזר מ"ה 19/2018), סעיף 1.3
תמורה ודאית שהופקדה בנאמנות
כאשר סכום התמורה נקוב וידוע מראש, אך הופקד בנאמנות עד להבטחת קיום מצגים שעליהם הסתמכה העסקה, החוזר קובע כי הפקדה בנאמנות אינה דוחה את מועד המיסוי: התמורה לצורכי מס היא מלוא הסכום שנקבע בעסקה, לרבות הסכומים שהופקדו בנאמנות; הריבית והפרשי ההצמדה שנצברו על הכספים בנאמנות מיום המכירה ועד לשחרורם למוכר מסווגים כהכנסות מימון נפרדות. מועד הדיווח הוא כאמור בסעיף 91(ד) לפקודה - תוך 30 יום ממועד המכירה - ללא תלות במועד שחרור הכספים מהנאמנות, בכפוף לאפשרות פקיד השומה, לפי שיקול דעתו, לאשר דחיית מועד תשלום המס בפועל (להבדיל ממועד הדיווח) בהתאם להוראות הפריסה שבפקודה. 📄 חוזר מ"ה 19/2018, סעיפים 3.1-3.2. כאשר תקופת ההחזקה בנאמנות חורגת משנה ממועד החתימה, נדרש דיווח נוסף על גבי טופס 2550. 📄 חוזר מ"ה 19/2018, סעיף 3.3
לכן, "מועד ההעברה לנאמן" אינו לבדו מועד המיסוי, ולהיפך - הפקדה בנאמנות של תמורה ודאית אינה דוחה את מועד המיסוי כלל.
תמורה מותנית - מבחן הכשירות למסלול הדחייה
לא כל תשלום המכונה "מותנה" נחשב כזה לצורך החוזר. החוזר קובע רשימת מקרים שבהם, על אף שהתשלום מנוסח כתלוי בתנאי, אין הוא נחשב "תמורה מותנית" ולכן לא חלים לגביו כללי הדחייה כלל - ובהם: תשלום שנדחה רק לקבלת אישור רגולטורי (כגון הרשות להגבלים עסקיים או בנק ישראל); חלק מהתמורה שהתקיימות התנאי לגביו קרובה לוודאי; תמורה בסכום קבוע וידוע מראש שרק מועד תשלומה בפועל אינו ודאי; מקרים שבהם ניתן לאמוד את סכום התמורה המותנית באופן מהימן כבר במועד המכירה; ותמורה ודאית שהופקדה בנאמנות (הנדונה בסעיף 3 לעיל). 📄 חוזר מ"ה 19/2018, סעיף 5.3. במקרים אלה חלה חובת הדיווח כברירת מחדל (סעיף 5.4 להלן) על מלוא הסכום, גם אם נוסח ההסכם מכנה אותו "מותנה".
תמורה מותנית - ברירת מחדל
"מאחר ואירוע המס מתרחש ביום המכירה, כברירת מחדל יש לדווח על כלל תמורות העסקה (לרבות רכיב התמורה המותנית) בתוך 30 ימים מיום המכירה, לפי סעיף 91(ד) לפקודה כאמור לעיל." 📄 חוזר מ"ה 19/2018, סעיף 5.4
תמורה מותנית - מסלול הדיווח החלופי (לבחירת הנישום)
לאור אי-הוודאות בכימות התמורה המותנית, רשאי הנישום לבחור במסלול דיווח חלופי, בכפוף לעקרונות הבאים:
רכיב התמורה המותנית אינו נכלל בחישוב רווח ההון במועד מכירת הנכס; לתמורה הוודאית בלבד מיוחסת מלוא עלות הנכס המקורי. 📄 חוזר מ"ה 19/2018, סעיף 5.5.1
מועד חישוב המס ותשלום המס לגבי רכיב התמורה המותנית יידחה למועד או למועדים שבהם תמורה זו (כולה או חלקים ממנה) ישולמו בפועל או שיהפכו לוודאיים, לפי המוקדם מבין השניים ("מועד חישוב המס של התמורה המותנית"); לרכיב זה תיוחס עלות בגובה אפס. 📄 חוזר מ"ה 19/2018, סעיף 5.5.2
דחיית מועד החישוב אינה יוצרת אירוע מס נוסף ואינה משנה את יום הרכישה ויום המכירה שנקבעו במסגרת עסקת המכירה המקורית (לרבות לעניין שיעורי המס החלים). ככל שהתמורה המותנית משולמת במט"ח, שער החליפין הרלוונטי הוא השער היציג במועד חישוב המס של התמורה המותנית (ולא במועד המכירה); סכום המס שיחול על רכיב התמורה המותנית יישא ריבית והפרשי הצמדה ממועד המכירה ועד למועד חישוב המס. 📄 חוזר מ"ה 19/2018, סעיף 5.5.3
הבחירה במסלול החלופי כפופה לבדיקת פקיד השומה כי אכן מדובר בתמורה מותנית, וליכולתו להבטיח את גביית המס העתידי - לרבות באמצעות דרישה למינוי נאמן שיבטיח את גביית המס בגין התמורה המותנית. 📄 חוזר מ"ה 19/2018, סעיף 5.5.4
ביצוע הדיווח החלופי כרוך בצירוף טופס 1390 (דיווח על רווח הון) לדיווח לפי סעיף 91(ד), הכולל: תיאור מבנה רכיב התמורה המותנית על תנאיו ומועדיו; התחייבות המוכר לדווח מדי שנה על התפתחויות רלוונטיות בהיקף התמורה המותנית; ובמועד שבו התמורה המותנית משולמת בפועל או הופכת לוודאית (לפי המוקדם) - דיווח נוסף ותשלום המס בהתאם. 📄 חוזר מ"ה 19/2018, סעיפים 5.5.5-5.5.5.4
מסקנה - מענה ישיר לשאלה
"המועד המדויק למיסוי" תלוי בסיווג התמורה: (א) תמורה ודאית שהופקדה בנאמנות - מועד המכירה, ללא קשר למועד השחרור מהנאמנות; (ב) תמורה "מותנית" שאינה עומדת במבחני הכשירות (סעיף 5.3) - מועד המכירה, כמו כל תמורה אחרת; (ג) תמורה מותנית כשירה במסלול ברירת המחדל - מועד המכירה; (ד) תמורה מותנית כשירה שנבחר לגביה מסלול הדיווח החלופי - מועד חישוב המס נדחה למועד שבו התמורה שולמה בפועל או הפכה לוודאית, לפי המוקדם מבין השניים - בעוד שמועד המכירה עצמו (לצורך יום הרכישה, שיעורי המס ורצף ההחזקה) אינו משתנה. "מועד הזכאות" (התגבשות התנאי) הוא אפוא רלוונטי רק במסלול (ד), ורק כרכיב במבחן "המוקדם מבין" מול מועד התשלום בפועל.</t>
  </si>
  <si>
    <t>עסקה למכירת זכויות בתאגיד הכוללת תמורות שיועברו למוכר במועדים עתידיים (חוזר מס הכנסה מספר 19/2018), סעיפים 1.3, 3.1-3.3, 5.3, 5.4, 5.5-5.5.5.4</t>
  </si>
  <si>
    <t>תשובת זהב של RAG תוקנה בעזרת claude:
א) תיקון מספרי הסעיפים השגויים (4.4.2/4.4.3/4.4.4.3, שאינם קיימים בהקשר זה - סעיף 4 עוסק בתמורה עתידית ידועה במט"ח בלבד) לסעיפים הנכונים - 5.5.2, 5.5.3 ו-5.5.5.3 - לאחר אימות ישיר מול נוסח חוזר 19/2018 המקורי, וכן הוספת סעיפים 5.5.1, 5.5.4 ו-5.5.5.1-5.5.5.4 שהושמטו.
ב) הוספת שני רבדים שהתשובה המקורית התעלמה מהם לחלוטין אך השאלה מתייחסת אליהם במפורש: תרחיש התמורה הודאית המופקדת בנאמנות (סעיף 3 - שם ההפקדה בנאמנות אינה דוחה את מועד המיסוי), ומבחן הכשירות הקובע מתי תמורה "מותנית" לכאורה כלל אינה נחשבת ככזו (סעיף 5.3).</t>
  </si>
  <si>
    <t>לא נבדק</t>
  </si>
  <si>
    <t>תקציר מנהלים
לפי חוזר מס הכנסה 19/2018, נקודת המוצא היא שמועד אירוע המס הוא מועד המכירה, ולא מועד קבלת התמורה בפועל. עם זאת, לגבי תמורה מותנית רשאי הנישום לבחור במסלול דיווח חלופי, שלפיו חישוב המס בגין רכיב זה יידחה למועד שבו התמורה תשולם בפועל או תהפוך לוודאית — לפי המוקדם.
ההבחנה בין סוגי התמורה
1. תמורה ודאית שהועברה לנאמן
החוזר קובע כברירת מחדל:
“מאחר ואירוע המס מתרחש ביום המכירה, כברירת מחדל יש לדווח על כלל תמורות העסקה (לרבות רכיב התמורה המותנית) בתוך 30 ימים מיום המכירה...” 📄 עסקה למכירת זכויות בתאגיד הכוללת תמורות שיועברו למוכר במועדים עתידיים (חוזר מ"ה 19/2018)ציטוט ▼
מכאן, העברה לנאמן אינה, כשלעצמה, מועד המיסוי. אם מדובר בתמורה ודאית שנקבעה בעסקה, היא נכללת, לפי ברירת המחדל, בתמורת העסקה במועד המכירה — גם אם הכספים טרם הועברו בפועל למוכר.
עם זאת, הקטע שאותר במאגרי מיסים אונליין אינו כולל את מלוא ההסדר הספציפי בחוזר ביחס לתמורה ודאית שהופקדה בנאמנות. לכן, על סמך הקטע שאוחזר, ניתן לקבוע את כלל ברירת המחדל, אך לא לצטט במדויק הוראה נפרדת העוסקת בכל תנאי הנאמנות.
2. תמורה מותנית — ברירת המחדל
גם לגבי תמורה מותנית, ברירת המחדל בחוזר היא שמועד אירוע המס הוא מועד המכירה, ויש לדווח על כלל התמורות כאילו הן חלק מתמורת העסקה במועד זה:
“מאחר ואירוע המס מתרחש ביום המכירה, כברירת מחדל יש לדווח על כלל תמורות העסקה (לרבות רכיב התמורה המותנית) בתוך 30 ימים מיום המכירה...” 📄 עסקה למכירת זכויות בתאגיד הכוללת תמורות שיועברו למוכר במועדים עתידיים (חוזר מ"ה 19/2018)ציטוט ▼
כלומר, לפי מסלול ברירת המחדל, אין להמתין לקבלת הכסף בפועל או להתגבשות הזכאות.
3. תמורה מותנית — מסלול הדיווח החלופי
החוזר מאפשר לנישום לבחור במסלול מיוחד, שנועד למקרים שבהם התמורה המותנית אינה ודאית או אינה ניתנת לכימות:
“לאור העובדה כי במקרים רבים התמורה המותנית אינה וודאית ו/או לא ניתנת לכימות וכן ייתכן שתתקבל לאחר שנים... רשאי הנישום לבחור לדווח על רווח ההון בגין רכיב התמורה המותנית, במסלול דיווח חלופי...” 📄 עסקה למכירת זכויות בתאגיד הכוללת תמורות שיועברו למוכר במועדים עתידיים (חוזר מ"ה 19/2018)ציטוט ▼
לפי העיקרון המצוטט בחוזר:
“רכיב התמורה המותנית לא יהווה חלק מהתמורה לעניין חישוב רווח ההון והמס הנובע ממנו במועד מכירת הנכס (מועד אירוע המס).” 📄 עסקה למכירת זכויות בתאגיד הכוללת תמורות שיועברו למוכר במועדים עתידיים (חוזר מ"ה 19/2018)ציטוט ▼
בהמשך הדוגמה שבחוזר, התמורה המותנית הותנתה בצליחת אבן דרך; לאחר שהאבן נחצתה ושולמה התמורה, חושב המס בגינה במועד המאוחר שבו התגבשה התמורה:
“בדיעבד, ביום 1.1.2020 צלח התאגיד את אבן הדרך האמורה ובהתאם לכך שולם לו סך של $100.” 📄 עסקה למכירת זכויות בתאגיד הכוללת תמורות שיועברו למוכר במועדים עתידיים (חוזר מ"ה 19/2018)ציטוט ▼
מהו המועד המדויק במסלול החלופי?
על סמך הוראות החוזר שאותרו, המועד הוא המוקדם מבין:
מועד תשלום התמורה המותנית בפועל; או
המועד שבו התמורה הפכה לוודאית או התגבשה הזכאות לקבלתה.
עם זאת, הנוסח המלא והמדויק של סעיף 5.5.2 בחוזר — שבו מופיעה במפורש נוסחת “המוקדם מבין” — לא אותר בקטע הישיר של החוזר שנשלף ממאגרי מיסים אונליין. לכן, את הניסוח המדויק של סעיף 5.5.2 איני יכול לצטט כאן מילה במילה על בסיס הקטעים הישירים שאוחזרו.
ההכרעה המעשית
תמורה ודאית: ככלל, מיסוי במועד המכירה; העברה לנאמן אינה יוצרת, לפי ברירת המחדל, מועד מיסוי חדש.
תמורה מותנית במסלול ברירת המחדל: מיסוי במועד המכירה, אף אם טרם שולמה.
תמורה מותנית במסלול הדיווח החלופי: מועד חישוב המס בגין רכיב זה נדחה למועד שבו התמורה שולמה בפועל או הפכה לוודאית — לפי המוקדם.
הדחייה מתייחסת למועד חישוב המס בגין הרכיב המותנה; אין בכך, לפי מבנה החוזר, יצירת עסקת מכירה חדשה.
לבקשתך נעשה שימוש בהוראות ביצוע בלבד; לא נכללה פסיקה. על סמך מאגרי מיסים אונליין, חסר בקטע שאוחזר הנוסח המלא של סעיף 5.5.2 לחוזר, וכן הניסוח המלא של ההוראה הנוגעת לתמורה ודאית המופקדת בנאמנות.</t>
  </si>
  <si>
    <t>עסקה למכירת זכויות בתאגיד הכוללת תמורות שיועברו למוכר במועדים עתידיים (חוזר מ"ה 19/2018)
ציטוט ▲
· עסקאות בהן נקבע כי סכומי תמורה נקובים (תמורות ודאיות) יופקדו בנאמנות עד להבטחת קיום מצגים אשר בהסתמך על התקיימותם נחתמה עסקה (ראו כאמור סעיף 3 לעיל ). 5.4 מאחר ואירוע המס מתרחש ביום המכירה, כברירת מחדל יש לדווח על כלל תמורות העסקה (לרבות רכיב התמורה המותנית) בתוך 30 ימים מיום המכירה, לפי סעיף 91(ד) לפקודה כאמור לעיל. 5.5 יחד עם זאת, לאור העובדה כי במקרים רבים התמורה המותנית אינה וודאית ו/או לא ניתנת לכימות וכן ייתכן שתתקבל לאחר שנים (לעיתים גם לאחר ששנת המס הרלוונטית התיישנה), ומתוך רצון ליצירת פשטות וודאות, רשאי הנישום לבחור לדווח על רווח ההון בגין רכיב התמורה המותנית, במסלול דיווח חלופי</t>
  </si>
  <si>
    <t>M10-Q05</t>
  </si>
  <si>
    <t>עופר בכר</t>
  </si>
  <si>
    <t>חברה שקיבלה בעבר אישור 'חברה מיוחדת' מבקשת לחדשו. אילו תנאים יש לבחון לפני החידוש? מה עליי לבקש כסימוכין?</t>
  </si>
  <si>
    <t>לפני חידוש אישור 'חברה מיוחדת', יש לבחון שני רבדים: (א) עמידה מחודשת בתנאי הסף הבסיסיים להכרה כ'חברה מיוחדת' מלכתחילה, ו-(ב) עמידה בתנאים הספציפיים החלים על חידוש אישור קיים.
א. תנאי הסף הבסיסיים - יש לוודא עמידה מחודשת בהם:
התאגדות ותושבות: החברה רשומה בישראל והיא תושבת ישראל.
פעילות מוכחת בישראל: לחברה פעילות מוכחת בישראל של לפחות 5 שנים באותו תחום עיסוק.
מחזור עסקים: מחזור העולה על 10 מיליון דולר בכל אחת משלוש שנות המס שקדמו להגשת הבקשה (פקיד השומה רשאי לאפשר חישוב לפי ממוצע תלת-שנתי).
דוחות כספיים: בכל הדוחות הכספיים לשלוש שנות המס שקדמו לבקשה, לא הייתה הימנעות או הסתייגות מהותית של רואה החשבון המבקר.
דיווח ותשלומי מס: החברה מגישה את כל הדוחות במועד, ואין לה חובות מס - לרבות מס שבח או חובות ניכויים - להוציא חובות בהסדר.
אישור פקיד השומה: האישור ניתן על ידי פקיד השומה עצמו.
ב. תנאים ספציפיים לחידוש אישור קיים:
ביקורות מס: בביקורות שנערכו לחברה ב-5 השנים האחרונות (ביקורות ניכויים, הכנסה וביקורות שומה) לא התגלו ממצאים בנושא ניכוי מס במקור בכלל, ובפרט בניכוי מס מהעברות לחו"ל.
הליכים פליליים: כנגד החברה לא מתנהלים כל חקירה ו/או הליך בתחום הפלילי.
עמידה שוטפת בסעיף 4 לתוספת להוראת ביצוע 34/93: פקיד השומה יבחן כי החברה נהגה בעבר ונוהגת באופן שוטף בהתאם לסעיף 4, וכי ביצעה את המוטל עליה באותו סעיף. הבדיקה כוללת, בין היתר:
ניהול ספר העברות לחו"ל, בו נרשמות כסדרן כל ההעברות;
פרטי מקבל התשלום בכל העברה, לרבות ציון אם מדובר בגוף קשור;
הפניה למסמכי המקור של כל העברה;
רישום סכומי המס שנוכו ושיעורי הניכוי בפועל;
קיום אישור מתאים לכל בקשה שהוגשה לבנק להעברת תשלום לחו"ל;
בדיקה מצד בעלי התפקידים שהוסמכו מטעם החברה כי התקיימו התנאים להעברה, בטרם ביצועה;
שמירה מסודרת של כל המסמכים המאמתים, בצירוף למסמכי ההעברה.
אחריות לתשלום מס: יודגש כי אם הועברו סכומים לחו"ל ללא ניכוי מס או בניכוי בשיעור מופחת, ויתברר כי היה על החברה לנכות מס במקור בשיעור גבוה מהשיעור שנוכה - החברה תהיה אחראית לתשלום המס. האישור אינו גורע מחובות אלו.
כסימוכין, על החברה לספק תיעוד והצהרות כדלקמן:
לגבי תנאי הסף הבסיסיים:
מסמכי התאגדות ואישור תושבות ישראלית;
אסמכתאות לפעילות מוכחת בישראל לאורך 5 שנים לפחות באותו תחום עיסוק;
דוחות כספיים מבוקרים לשלוש שנות המס שקדמו לבקשה, כולל נתוני מחזור לכל שנה (או חישוב ממוצע תלת-שנתי, אם מבוקש);
אישור רואה החשבון המבקר כי לא נכללה בדוחות הימנעות או הסתייגות מהותית;
אישורי הגשת דוחות במועד, ואישור על היעדר חובות מס וחובות ניכויים - או פרטי הסדר תשלומים קיים ותיעוד עמידה בו.
לגבי תנאי החידוש הספציפיים:
הצהרה על היעדר ממצאים בביקורות ניכויים, הכנסה ושומה שנערכו ב-5 השנים האחרונות בנושא ניכוי מס במקור מהעברות לחו"ל;
הצהרה על היעדר חקירות או הליכים פליליים כנגד החברה ו/או מנהליה;
ספר ההעברות לחו"ל לכל תקופת האישור הקודמת, כולל פרטי מקבלי התשלום, מסמכי מקור, וסכומי/שיעורי הניכוי;
דגימה של אישורי בנק שנלוו בפועל לבקשות להעברת תשלומים;
פרטי בעלי התפקידים שהוסמכו לאשר העברות, ואישור כי נבדקו התנאים להעברה בטרם ביצועה;
אישור פנימי בדבר שמירה מסודרת של כלל המסמכים המאמתים;
הצהרה/אישור כי החברה מודעת לאחריותה הנמשכת לתשלום מס במקרה של ניכוי חסר או שגוי, חרף קיום האישור.</t>
  </si>
  <si>
    <t>ה"ב 34/93(1) 26.1.98 - ניכוי מס במקור מתשלומים לתושבי חוץ
ניכוי מס במקור מתשלומים לתושב חוץ - חברות מיוחדות הארכת תוקף ההוראות שבתוספת 1 להוראות ביצוע 34/93 (ה"ב 34/93-2)</t>
  </si>
  <si>
    <t>תשובת זהב של RAG תוקנה בעזרת claude:
א) תיקון טעות מספרית - "3 השנים האחרונות" הוחלף ב-"5 השנים האחרונות" לתקופת בדיקת הביקורות, בהתאם ללשון המדויקת של ה"ב 34/93-2, וכן הוספת פירוט מלא של דרישות ניהול ספר ההעברות לפי סעיף 4 (פרטי מקבל, מסמכי מקור, סכומי ניכוי, אישורי בנק, בעלי תפקידים מוסמכים, שמירת מסמכים) שהתשובה המקורית הזכירה רק באופן כללי.
ב) הוספת רובד שלם שהושמט לחלוטין - תנאי הסף הבסיסיים להכרה כ"חברה מיוחדת" מלכתחילה (התאגדות ותושבות, 5 שנות פעילות, מחזור 10 מיליון דולר, דוח כספי ללא הסתייגות מהותית, היעדר חובות מס, אישור פקיד השומה) - שיש לוודא עמידה מחודשת בהם גם במסגרת חידוש, ולא רק את התנאים הספציפיים לחידוש עצמו.</t>
  </si>
  <si>
    <t>תקציר מנהלים
בחידוש אישור "חברה מיוחדת" יש לבחון שני רבדים: עמידה מחודשת בתנאים הבסיסיים של הוראת ביצוע 34/93, וכן עמידה בתנאים המיוחדים שנקבעו לחברה שכבר קיבלה אישור בעבר. התנאי המרכזי בחידוש הוא בדיקה שהחברה נהגה בעבר ונוהגת באופן שוטף בהתאם לחובות החלות על חברה מיוחדת, וביצעה את כל המוטל עליה לפי סעיף 4 לתוספת להוראה.
השאלה המשפטית
אילו תנאים יש לבדוק לפני חידוש אישור "חברה מיוחדת", ואילו מסמכים ואסמכתאות יש לדרוש מהחברה לצורך הבדיקה, בהתאם להוראות ביצוע בלבד.
המסגרת הנורמטיבית
הוראת ביצוע 34/93 קובעת את התנאים הבסיסיים להכרה בחברה כ"חברה מיוחדת":
"כ'חברה מיוחדת' תחשב חברה העונה על כל התנאים הבאים: (1) חברה הרשומה בישראל והיא תושבת ישראל. (2) לחברה פעילות מוכחת בישראל של לפחות 5 שנים באותו תחום עיסוק. (3) לחברה מחזור העולה על 10 מליון דולר בכל אחת משלוש שנות המס שקדמו להגשת הבקשה להחשב כחברה מיוחדת. פקיד השומה רשאי לאפשר עריכת ממוצע תלת שנתי. (4) בכל הדו"חות הכספיים לשלוש שנות המס שקדמו להגשת הבקשה, לא הייתה הימנעות או הסתייגות מטריאלית של רואה החשבון המבקר. (5) החברה מגישה לרשויות המס את כל הדו"חות במועד, ואין לה חובות מס כולל מס שבח או חובות ניכויים כמשמעותם בפקודה, להוציא חובות בהסדר. (6) פקיד השומה בעצמו אישר את בקשתה של החברה להחשב כחברה מיוחדת." 📄 ה"ב 34/93(1) 26.1.98 ניכוי מס במקור מתשלומים לתושבי חוץציטוט ▼
הוראת הביצוע קובעת גם כי ההסדר עשוי לחול על חברת בת בשליטה מלאה, בכפוף לכך שהחברה המיוחדת קיבלה על עצמה בכתב את החובות וההתחייבויות של חברת הבת בקשר להעברת התשלום לחו"ל. 📄 ה"ב 34/93(1) 26.1.98 ניכוי מס במקור מתשלומים לתושבי חוץציטוט ▼
לעניין חברה שכבר קיבלה אישור בעבר, הוראת הביצוע להארכת תוקף קובעת:
"אם החברה קיבלה אישור חברה מיוחדת בשנים קודמות - פקיד השומה יבחן טרם אישור הבקשה מחדש, כי החברה התנהגה בעבר ומתנהגת באופן שוטף בהתאם לסעיף 4 לתוספת להוראות ביצוע מספר 34/93 וכי ביצעה את המוטל עליה באותו סעיף." 📄 ניכוי מס במקור מתשלומים לתושב חוץ - חברות מיוחדות הארכת תוקף ההוראות שבתוספת 1 להוראות ביצוע 34/93 (ה"ב 34/93-2)ציטוט ▼
אותה הוראת ביצוע מוסיפה תנאים לבדיקה טרם ההארכה:
"בביקורות שנערכו לחברות ב-5 השנים האחרונות, ביקורות ניכויים, הכנסה וביקורות שומה, לא התגלו ממצאים בנושא ניכוי מס במקור בכלל ובניכוי מס מהעברות לחו"ל בפרט." 📄 ניכוי מס במקור מתשלומים לתושב חוץ - חברות מיוחדות הארכת תוקף ההוראות שבתוספת 1 להוראות ביצוע 34/93 (ה"ב 34/93-2)ציטוט ▼
וכן:
"כנגד החברה לא מתנהלים כל חקירה/הליך בתחום הפלילי." 📄 ניכוי מס במקור מתשלומים לתושב חוץ - חברות מיוחדות הארכת תוקף ההוראות שבתוספת 1 להוראות ביצוע 34/93 (ה"ב 34/93-2)ציטוט ▼
בנוסף, נקבע כי יש להבהיר באישור שהחברה נותרת אחראית לתשלום המס אם העבירה סכומים לחו"ל ללא ניכוי או בניכוי מופחת, והתברר שהיה עליה לנכות מס בשיעור גבוה יותר. 📄 ניכוי מס במקור מתשלומים לתושב חוץ - חברות מיוחדות הארכת תוקף ההוראות שבתוספת 1 להוראות ביצוע 34/93 (ה"ב 34/93-2)ציטוט ▼
ניתוח משפטי
1. תנאי הסף של "חברה מיוחדת"
לפני חידוש האישור יש לבדוק מחדש, ככל שנדרש, את התנאים הבאים:
התאגדות ותושבות – החברה רשומה בישראל והיא תושבת ישראל.
פעילות מוכחת בישראל – לפחות חמש שנות פעילות בישראל באותו תחום עיסוק, לפי נוסח הוראת הביצוע משנת 1998. 📄 ה"ב 34/93(1) 26.1.98 ניכוי מס במקור מתשלומים לתושבי חוץציטוט ▼
מחזור פעילות – מחזור העולה על 10 מיליון דולר בכל אחת משלוש שנות המס שקדמו לבקשה; הוראת הביצוע מאפשרת לפקיד השומה לשקול חישוב לפי ממוצע תלת־שנתי. סכום זה מופיע בהוראת הביצוע משנת 1998, ולכן יש לוודא מול ההוראה או ההארכה החלה בפועל במועד החידוש. 📄 ה"ב 34/93(1) 26.1.98 ניכוי מס במקור מתשלומים לתושבי חוץציטוט ▼
היעדר הסתייגות או הימנעות מהותית בדוחות הכספיים – בשלושת הדוחות הכספיים שקדמו לבקשה לא הייתה הימנעות או הסתייגות מטריאלית של רואה החשבון המבקר. 📄 ה"ב 34/93(1) 26.1.98 ניכוי מס במקור מתשלומים לתושבי חוץציטוט ▼
דיווחים ותשלומי מס – החברה הגישה את כל הדוחות לרשויות המס במועד, ואין לה חובות מס, לרבות מס שבח וחובות ניכויים, למעט חובות המצויים בהסדר. 📄 ה"ב 34/93(1) 26.1.98 ניכוי מס במקור מתשלומים לתושבי חוץציטוט ▼
אישור פקיד השומה – האישור צריך להינתן על ידי פקיד השומה עצמו. 📄 ה"ב 34/93(1) 26.1.98 ניכוי מס במקור מתשלומים לתושבי חוץציטוט ▼
2. תנאים מיוחדים לחידוש אישור קיים
במקרה של חברה שקיבלה אישור בשנים קודמות, אין להסתפק בבדיקת תנאי הסף בלבד. יש לבדוק את ההתנהלות ההיסטורית והשוטפת של החברה לפי סעיף 4 לתוספת להוראת ביצוע 34/93. 📄 ניכוי מס במקור מתשלומים לתושב חוץ - חברות מיוחדות הארכת תוקף ההוראות שבתוספת 1 להוראות ביצוע 34/93 (ה"ב 34/93-2)ציטוט ▼
במסגרת זו יש לבחון:
האם החברה ניהלה ספר העברות לחו"ל;
האם נרשמו בו כל ההעברות לפי סדרן;
האם נכללו פרטי מקבל התשלום, לרבות ציון אם מדובר בגוף קשור;
האם קיימת הפניה למסמכי המקור;
האם נרשמו סכומי המס שנוכו ושיעורי הניכוי;
האם כל בקשה לבנק להעביר תשלום לחו"ל לוותה באישור המתאים;
האם בעלי התפקידים שהוסמכו מטעם החברה בדקו שהתקיימו התנאים להעברה;
האם החברה שמרה באופן מסודר את כל המסמכים המאמתים, בצירוף למסמכי ההעברה. 📄 ה"ב 34/93(1) 26.1.98 ניכוי מס במקור מתשלומים לתושבי חוץציטוט ▼
3. ביקורות, ממצאים והליכים פליליים
לפי הוראת הביצוע להארכת התוקף, יש לבדוק את תוצאות ביקורות הניכויים, מס ההכנסה וביקורות השומה שנערכו בחמש השנים האחרונות. הבדיקה צריכה להתמקד במיוחד בממצאים הנוגעים לניכוי מס במקור ולניכוי מס מהעברות לחו"ל. 📄 ניכוי מס במקור מתשלומים לתושב חוץ - חברות מיוחדות הארכת תוקף ההוראות שבתוספת 1 להוראות ביצוע 34/93 (ה"ב 34/93-2)ציטוט ▼
יש לבדוק גם שאין נגד החברה חקירה או הליך בתחום הפלילי. 📄 ניכוי מס במקור מתשלומים לתושב חוץ - חברות מיוחדות הארכת תוקף ההוראות שבתוספת 1 להוראות ביצוע 34/93 (ה"ב 34/93-2)ציטוט ▼
הוראות ביצוע מאוחרות יותר שהופיעו במאגרי מיסים אונליין כוללות בנוסח תנאי בדיקה של שלוש שנים וכן התייחסות לחברה ולמנהליה, אך הן אינן הוראות הביצוע המקוריות אלא מסמכי הארכת תוקף. מאחר שהתבקשה תשובה המבוססת על הוראות ביצוע בלבד, הבסיס המפורש בתשובה הוא הוראת ביצוע 34/93 והוראת הביצוע להארכתה משנת 2007.
אילו אסמכתאות לבקש מהחברה
מומלץ לדרוש מהחברה חבילת מסמכים מסודרת, שתאפשר לבדוק כל תנאי בנפרד:
א. מסמכי הבקשה וההרשאה
בקשה מחודשת על גבי הטופס המתאים;
הצהרה חתומה כי החברה עומדת בתנאים;
פירוט שמות בעלי התפקידים שהוסמכו מטעם החברה לאשר לבנקים העברות לחו"ל;
החלטת דירקטוריון או מסמך תאגידי המאשר את הגשת הבקשה והסמכת בעלי התפקידים.
הוראת הביצוע קובעת שהחברה מגישה בקשה על גבי טופס כדוגמת נספח ג', ובה מצהירה, בין היתר, על עמידתה בתנאים ומפרטת את בעלי התפקידים המוסמכים. 📄 ה"ב 34/93(1) 26.1.98 ניכוי מס במקור מתשלומים לתושבי חוץציטוט ▼
ב. הוכחת תנאי הסף
מסמכי התאגדות ורישום בישראל;
מסמך המעיד על תושבות ישראלית;
תיאור הפעילות בישראל לאורך חמש שנים לפחות;
דוחות כספיים לשלוש שנות המס הרלוונטיות;
אישור רואה החשבון המבקר שאין בדוחות הימנעות או הסתייגות מטריאלית;
נתוני מחזור לכל אחת משלוש שנות המס שקדמו לבקשה, או חישוב ממוצע תלת־שנתי אם מבוקשת הפעלת שיקול הדעת בעניין זה;
דוחות המס שהוגשו לרשויות המס;
אישורי היעדר חובות מס וחובות ניכויים, או הסכמי הסדר ותיעוד עמידה בתשלומים לפי ההסדר.
ג. בדיקת העבר כחברה מיוחדת
יש לבקש:
את האישור הקודם ואת כל אישורי ההארכה הקודמים;
את ספר ההעברות לחו"ל לכל תקופת האישור הקודמת;
דגימה של העברות שבוצעו בפועל;
מסמכי המקור של ההעברות;
אישורי הבנק שנלוו לבקשות להעברת תשלומים;
חישובי ניכוי המס ואסמכתאות לניכוי שבוצע;
רשימת מקבלי התשלומים, לרבות ציון גופים קשורים;
פרטי בעלי התפקידים שאישרו את ההעברות;
הצהרה או אישור פנימי בדבר שמירת המסמכים המאמתים.
דרישות אלה נגזרות ישירות מחובות החברה לפי סעיף 4 לתוספת, ובפרט מהחובה לנהל ספר העברות ולשמור את המסמכים המאמתים. 📄 ה"ב 34/93(1) 26.1.98 ניכוי מס במקור מתשלומים לתושבי חוץציטוט ▼
ד. ביקורות והליכים
רשימת ביקורות ניכויים, ביקורות הכנסה וביקורות שומה שנערכו בחמש השנים האחרונות;
דוחות ביקורת, תרשומות סיום ומכתבי ממצאים;
הצהרה בדבר היעדר ממצאים בנושא ניכוי מס במקור, ובפרט העברות לחו"ל;
הצהרה מטעם החברה בדבר היעדר חקירה או הליך פלילי;
לפי הצורך, אסמכתאות רשמיות המאשרות את היעדרם של הליכים כאמור.
מסקנה והמלצות
לפני חידוש האישור יש לבצע בדיקת חידוש מלאה, ולא להסתפק באישור היסטורי. לכל הפחות יש לאמת:
עמידה מחודשת בתנאי הסף של החברה המיוחדת;
היעדר ממצאים רלוונטיים בביקורות;
היעדר חקירה או הליך פלילי;
ניהול תקין של ספר ההעברות;
תיעוד ואישור של כל העברה לחו"ל;
שמירת מסמכי המקור;
הגשת דוחות ותשלום חובות המס, למעט חובות שבהסדר;
זהות בעלי התפקידים המוסמכים ועדכניות הרשאותיהם.
על סמך מאגרי מיסים אונליין, לא אותרה הוראת ביצוע מאוחרת יותר הקובעת את התנאים החלים בשנת 2026. לכן, יש לאמת לפני מתן האישור שהוראת ביצוע 34/93 והוראת ההארכה שאותרה עדיין משמשות בסיס מנהלי תקף לחידוש המבוקש.</t>
  </si>
  <si>
    <t xml:space="preserve"> ה"ב 34/93(1) 26.1.98 ניכוי מס במקור מתשלומים לתושבי חוץ
ציטוט ▲
נוהל אישור לחברה מיוחדת ושלילת אישור 1 החברה תגיש בקשה על גבי טופס כדוגמת נספח ג', בו תצהיר בין היתר כי היא עומדת בכל התנאים המוקדמים ותפרט את שמות בעלי התפקידים שהוסמכו מטעמה לאשר לבנקים העברת תשלומים לחו"ל. פקיד השומה רשאי שלא לאשר בקשה, אף אם נתמלאו התנאים המוקדמים, וזאת מטעמים מיוחדים שיובאו לידיעת החברה. כמו כן רשאי פקיד השומה לשלול או להפסיק תוקפו של אישור אם לדעתו פסקה זכאותה של החברה להחשב כמיוחדת. אישור לחברה מיוחדת יינתן בנוסח כנספח ד'. העתק האישור והבקשה יישלחו אל מחלקת ניכויים נמ"ה. 4. חובות והתחייבויות של "חברה מיוחדת" 1 (1) החברה תנהל ספר העברות לחו"ל, בו יירשמו כסדרן כל העברה
📄 ניכוי מס במקור מתשלומים לתושב חוץ - חברות מיוחדות הארכת תוקף ההוראות שבתוספת 1 להוראות ביצוע 34/93 (ה"ב 34/93-2)
ציטוט ▲
הוראות בצוע - מס הכנסה ה"ב 34/93(2) – 26.3.07.– ניכוי מס במקור מתשלומים לתושב חוץ - חברות מיוחדות הארכת תוקף ההוראות שבתוספת 1 להוראות ביצוע 34/93 מיסים כא/2 ג-144 ראש מנהל מקצועי ז' ניסן, תשס"ז 26.3.2007 אל: פקידי השומה הנדון: ניכוי מס במקור מתשלומים לתושב חוץ - חברות מיוחדות הארכת תוקף ההוראות שבתוספת 1 להוראות ביצוע 34/93 תוקפה של ההוראה שבנדון ביחס לחברות מיוחדות מוארך בזאת עד יום 30.9.2007 , בכפוף לעמידה בתנאים הבאים בנוסף לנדרש על פי ההוראות: 1. בביקורות שנערכו לחברות ב-5 השנים האחרונות, ביקורות ניכויים, הכנסה וביקורות שומה, לא התגלו ממצאים בנושא ניכוי מס במקור בכלל ובניכוי מס מהעברות</t>
  </si>
  <si>
    <t>שאלה ותשובה ממיסוי און ליין</t>
  </si>
  <si>
    <t>אם חברה נותנת הלוואה לחברה קשורה , צריך לחיב את החברה בהכנסות מריבית רעיונית 3(י)?</t>
  </si>
  <si>
    <t>כן, ככלל חברה המעמידה הלוואה לחברה קשורה ללא ריבית או בריבית נמוכה מחויבת לבחון חיוב בהכנסה מריבית רעיונית לפי סעיף 3(י), אצל החברה המלווה.
לפי חוזר מ"ה 13/2018:
סדר הבדיקה: יש לבדוק תחילה האם מדובר בעסקה בינלאומית שעליה חל סעיף 85א; אם סעיף 85א אינו חל, יש לבדוק תחילה את סעיף 3(ט), ולאחר מכן את סעיף 3(י). מובהר בחוזר כי סעיפים 3(ט) ו-3(י) יחולו גם לגבי הלוואות שהן עסקאות בינלאומיות שסעיף 85א אינו חל עליהן. 📄 הלוואה בריבית נמוכה: יישום הוראות סעיפים 3(ט), 3(י) ו-85א לפקודה לאור תיקונים 164 ו-185 לפקודה (חוזר מ"ה 13/2018)
תנאי "יחסים מיוחדים": תחולת סעיף 3(י) מותנית בקיום יחסים מיוחדים, הכוללים: (א) יחסים שבין אדם לקרובו; (ב) שליטה של אחד מהצדדים להלוואה בצד האחר; או (ג) מצב שבו שני הצדדים להלוואה נמצאים בשליטת אותו אדם. "שליטה" לעניין זה מוגדרת כהחזקה של 5% או יותר, במישרין או בעקיפין, באחד או יותר מאמצעי השליטה, ביום אחד לפחות בשנת המס. 📄 חוזר מ"ה 13/2018
חיוב בהכנסה: אם ההלוואה היא ללא ריבית או בריבית נמוכה מהשיעור שנקבע - יש לזקוף למלווה הכנסה בגובה הפרש הריבית. בהיעדר תחולת פרק ב' לחוק התיאומים על מקבל ההלוואה, שיעור הריבית הקובע לצורך חישוב ההפרש הוא 75% משיעור העלות הכוללת הממוצעת לאשראי הלא צמוד הניתן על ידי הבנקים. 📄 חוזר מ"ה 13/2018; חישוב הכנסה לפי סעיפים 3(ט) ו-3(י) לפקודת מס הכנסה בשנת המס 2003 (ה"ב 18/04)
מתי סעיף 3(י) אינו חל: החוזר קובע רשימה סגורה של מקרים שבהם סעיף 3(י) אינו חל, ובהם:
חוב של לקוחות או חוב של ספקים בשל שירותים או נכסים;
הלוואה שסעיף 3(ט) חל עליה;
הלוואה שניתנה על ידי מוסד ציבורי למטרתו הציבורית;
הלוואה במסגרת עסקה בינלאומית שחל עליה סעיף 85א;
הלוואה שאינה צמודה למדד, שניתנה על ידי חבר בני אדם לחבר בני אדם שבשליטתו, כנגד שטר הון, לתקופה של 5 שנים לפחות - חריג משמעותי ורלוונטי במיוחד לתכנון מבנה הלוואות בין חברות קשורות;
מכשירים מסוימים שניתנו לפני ביטול חוק התיאומים (עד שנת 2008), בכפוף לתנאים שנקבעו.
📄 חוזר מ"ה 13/2018
חישוב ההכנסה: הוראת הביצוע בעניין חישוב ההכנסה לפי סעיפים 3(ט) ו-3(י) מבהירה כי כאשר מתקיימים תנאי סעיף 3(י), יש לחשב את ההכנסה לפי ההפרש בין הריבית שנקבעה בהלוואה לבין שיעור הריבית הרלוונטי לפי התקנות. 📄 ה"ב 18/04
לכן: בהלוואה מקומית בין חברות קשורות (במצב של שליטה הדדית או שליטה משותפת), שאינה חוב מסחרי של לקוח או ספק, אינה כפופה לסעיף 3(ט), אינה עסקה בינלאומית הכפופה לסעיף 85א, ואינה מובנית כשטר הון עומד בתנאי החריג (5 שנים ומעלה, ללא הצמדה) - יש לחייב את החברה המלווה בהכנסה מריבית רעיונית לפי סעיף 3(י), בשיעור המחושב לפי 75% מהעלות הממוצעת לאשראי בנקאי לא צמוד (בהיעדר תחולת חוק התיאומים על מקבל ההלוואה).</t>
  </si>
  <si>
    <t>הלוואה בריבית נמוכה: יישום הוראות סעיפים 3(ט), 3(י) ו-85א לפקודה לאור תיקונים 164 ו-185 לפקודה (חוזר מ"ה 13/2018)
 חישוב הכנסה לפי סעיפים 3(ט) ו-3(י) לפקודת מס הכנסה בשנת המס 2003 (ה"ב 18/04)</t>
  </si>
  <si>
    <t>תשובת זהב של מיסוי און ליין תוקנה בעזרת claude:
א) השלמת הגדרת "יחסים מיוחדים" (הוספת קטגוריית "קרוב" וההגדרה המדויקת של "שליטה" - 5% ומעלה) והשלמת רשימת החריגים החסרים מסעיף 3(י) - במיוחד חריג שטר ההון (הלוואה לא צמודה כנגד שטר הון לתקופה של 5 שנים לפחות לחברה בשליטה), שהוא הרלוונטי ביותר לתכנון הלוואות בין חברות קשורות ולא הופיע כלל בתשובה המקורית.
ב) הוספת שיעור הריבית הרעיונית בפועל - 75% מהעלות הכוללת הממוצעת לאשראי לא צמוד הניתן על ידי הבנקים - שהתשובה המקורית לא ציינה כלל, והשאירה את "הפרש הריבית" ללא נוסחה מספקת ליישום מעשי.</t>
  </si>
  <si>
    <t>כן, ככלל חברה המעמידה הלוואה לחברה קשורה ללא ריבית או בריבית נמוכה מחויבת לבחון חיוב בהכנסה מריבית רעיונית לפי סעיף 3(י), אצל החברה המלווה.
לפי חוזר מ"ה 13/2018:
תחולת סעיף 3(י) מותנית בקיום יחסים מיוחדים, לרבות שליטה של חברה אחת באחרת או שליטה של אותו אדם בשתי החברות.
אם ההלוואה היא ללא ריבית או בריבית נמוכה מהשיעור שנקבע — יש לזקוף למלווה הכנסה בגובה הפרש הריבית.
יש לבדוק תחילה האם מדובר בעסקה בינלאומית שעליה חל סעיף 85א; אם סעיף 85א אינו חל, יש לבדוק תחילה את סעיף 3(ט), ולאחר מכן את סעיף 3(י).
סעיף 3(י) לא חל, בין היתר, על הלוואה שסעיף 3(ט) חל עליה, וכן על חוב של לקוחות או ספקים בשל שירותים או נכסים. 📄 הלוואה בריבית נמוכה: יישום הוראות סעיפים 3(ט), 3(י) ו-85א לפקודה לאור תיקונים 164 ו-185 לפקודה (חוזר מ"ה 13/2018)ציטוט ▼
הוראת הביצוע בעניין חישוב ההכנסה לפי סעיפים 3(ט) ו־3(י) מבהירה כי כאשר מתקיימים תנאי סעיף 3(י), יש לחשב את ההכנסה לפי ההפרש בין הריבית שנקבעה בהלוואה לבין שיעור הריבית הרלוונטי לפי התקנות. 📄 חישוב הכנסה לפי סעיפים 3(ט) ו-3(י) לפקודת מס הכנסה בשנת המס 2003 (ה"ב 18/04)ציטוט ▼
לכן: בהלוואה מקומית בין חברות קשורות, שאינה חוב מסחרי של לקוח או ספק, אינה כפופה לסעיף 3(ט), ואינה עסקה בינלאומית הכפופה לסעיף 85א — יש לבחון חיוב החברה המלווה בריבית רעיונית לפי סעיף 3(י).</t>
  </si>
  <si>
    <t>הלוואה בריבית נמוכה: יישום הוראות סעיפים 3(ט), 3(י) ו-85א לפקודה לאור תיקונים 164 ו-185 לפקודה (חוזר מ"ה 13/2018)
ציטוט ▲
באם לא מתקיימים תנאי סעיף 85א יש לבדוק תחילה אם היא עונה להגדרת הלוואה בסעיף 3(ט) ולאחר מכן לסעיף 3(י). מובהר כי סעיפי 3(ט) ו-3(י) יחולו גם לגבי הלוואות שהן עסקאות בינלאומיות שסעיף 85א לא חל לגביהן. כמו-כן, שיעור הריבית שייקבע הינו בהתאם להוראות הסעיף 3(ט) ו-3(י) או 85א. 3. סעיף 3(ט) לפקודה 3.1 רקע סעיף 3(ט) לפקודת מס הכנסה קובע, בין היתר, כי אדם שקיבל הלוואה בלא ריבית או בריבית בשיעור נמוך משיעור הריבית שקבע לעניין זה שר האוצר, יראו את הפרש הריבית: (א) בזכות או בהלוואה שניתנו בקשר ליחסי עובד ומעביד - כהכנסת עבודה; (ב) בזכות או בהלוואה שקיבל אדם ממי שהוא מספק לו שירותים - כהכנסה לפי סעיף 2(1)
📄 חישוב הכנסה לפי סעיפים 3(ט) ו-3(י) לפקודת מס הכנסה בשנת המס 2003 (ה"ב 18/04)
ציטוט ▲
3.1 כאשר על מקבל ההלוואה לא חלות הוראות פרק ב' לחוק התיאומים כאשר הוראות פרק ב' לחוק התיאומים אינן חלות בקביעת הכנסתו של מקבל ההלוואה, נקבע בתקנה 2(א) ל תקנות 3(י) כי "שיעור הריבית" יהיה "... שיעור עליית המדד בתוספת 4 אחוזים המוכפלים במספר הימים בתקופת ההלוואה ומחולקים בשלוש מאות שישים וחמישה." יישום: היישום במקרה זה דומה ליישום המפורט בסעיף 2.1 לעיל. ביישום האמור, במקום המונח "תקופת זקיפה" יש לקרוא "תקופת הלוואה". ראה דוגמא מספר 3 בנספח. 3.2 כאשר על מקבל ההלוואה חלות הוראות פרק ב' לחוק התיאומים לגבי הלוואה שניתנה למי שפרק ב' להוראות חוק התיאומים חלות בקביעת הכנסתו, נקבע בתקנה 2 לתקנות מכוח</t>
  </si>
  <si>
    <t>בשנת 2025 נחתם הסכם אופציה ייחודית. המחיר בעד האופציה היה 266,000 ש"ח. היום מדווחת לי עסקת סיחור אופציה ומבקשים פטור 49 י' אופציה ייחודית. האם הסעיף חל גם על סיחור אופציה?</t>
  </si>
  <si>
    <t>כן. פרק חמישי 2 לחוק מיסוי מקרקעין (שבח, מכירה ורכישה), התשכ"ג-1963, וההוראה המפרשת אותו (הוראת ביצוע מיסוי מקרקעין מס' 10/2002), מתייחסים למכירת אופציה שאינה מימוש, וההסדר המיוחד עשוי לחול גם בשלב המסחר המשני - כלומר, גם על סיחור האופציה - ובלבד שהאופציה והעסקה הספציפית עומדות בכל התנאים המצטברים של אופציה ייחודית.
עובדת שנת החתימה (2025) אינה שוללת את הפטור כשלעצמה - אין בהוראה תנאי הקושר את הזכאות למועד חתימת האופציה המקורית.
עם זאת, מהנתון של 266,000 ש"ח בלבד לא ניתן לקבוע אם תנאי התמורה מתקיים. יש להשוות סכום זה לשווי הזכות במקרקעין ו/או למחיר המימוש הקבוע בהסכם, שכן אחד התנאים המצטברים לסיווג אופציה כ"ייחודית" הוא שהתמורה ששולמה בעדה אינה חורגת מיחס מסוים משווי הזכות/ממחיר המימוש. (הערת אימות: לא הצלחתי לאתר בשיחה זו את הנוסח המדויק של יחס זה בתוך הוראת ביצוע 10/2002 עצמה - יש לוודא זאת מול נוסח ההוראה המלא לפני מתן אישור סופי; מקורות משניים מציינים סף של כ-5%, אך הדבר טעון אימות ישיר מול ההוראה.)
יש לוודא גם את יתר התנאים המצטברים שבהוראת הביצוע, ובכלל זה: שהאופציה ניתנה בכתב; שהיא ניתנת להעברה; שהתחייבות המוכר (בעל המקרקעין) היא בלתי חוזרת; שתקופת המימוש עומדת בתנאי ההסדר; שלמחזיק לא ניתנה חזקה במקרקעין; ושנמסרה הודעה למנהל במועד. 📄 הרפורמה במיסוי מקרקעין - אופציות במקרקעין (הוראת שעה) (מ"ש 10/02)
חשוב: הציטוט שאותר ממ"ש 10/02 לעניין עצם תחולת ההסדר על סיחור נקטע בדיוק בנקודה שבה ההוראה עומדת להבהיר הבחנה אפשרית בין מכירה ראשונה (מבעל המקרקעין למחזיק) לבין עסקאות סיחור מאוחרות יותר ("יצוין כי בעת מכירת האופציה לראשונה מבעל המקרקעין למחזיק, לא תקבע..."). לכן, בעוד שהמסקנה הכללית - שהפטור עשוי לחול גם על סיחור - סבירה, יש לאתר ולקרוא את המשך הנוסח המדויק בהוראה (ובפרט: האם קביעת השווי/התמורה לצורך מבחני הזכאות נבחנת מחדש בכל שלב סיחור, או רק במועד המכירה הראשונה) לפני מתן חוות דעת סופית בתיק הקונקרטי.
איחור במסירת ההודעה אינו שולל בהכרח את האפשרות לבקש את הפטור: לפי תוספת מס' 1 להוראת ביצוע 10/2002, המנהל רשאי להאריך את המועד למסירת ההודעה, תוך בחינת משך האיחור, זהות הצדדים, הסיבות לאיחור ונסיבות המקרה. 📄 פרק חמישי 2: אופציה ייחודית - הארכת מועד למסירת הודעה על מכירת אופציה (מ"ש 10/02(1))
מסקנה מעשית: יש לבקש מהנישום: (א) את מלוא נוסח הסכם האופציה המקורי משנת 2025 ואת נתוני שווי הזכות/מחיר המימוש לבדיקת יחס התמורה; (ב) אסמכתה לכך שהאופציה ניתנה בכתב, ניתנת להעברה, וכי לא ניתנה למחזיק חזקה במקרקעין; (ג) פרטי ההודעה שנמסרה למנהל ומועדה, ואם נמסרה באיחור - נימוקי האיחור לצורך בחינת בקשת הארכה.</t>
  </si>
  <si>
    <t>הרפורמה במיסוי מקרקעין - אופציות במקרקעין (הוראת שעה) (מ"ש 10/02)
פרק חמישי 2: אופציה ייחודית - הארכת מועד למסירת הודעה על מכירת אופציה (תוספת מס' 1 להוראת ביצוע מיסוי מקרקעין 10/2002)</t>
  </si>
  <si>
    <t>תשובת זהב של מיסוי און ליין תוקנה בעזרת claude:
א) סימון מפורש של כך שהציטוט התומך במסקנה בדבר תחולת ההסדר על סיחור נקטע בדיוק בנקודה שבה ההוראה עומדת להבחין בין מכירה ראשונה למכירות סיחור מאוחרות - במקום להציג את המסקנה כנתמכת במלואה במקור שצוטט.
ב) הוספת התייחסות למבחן התמורה/שווי הקונקרטי (יחס בין מחיר האופציה לשווי הזכות/מחיר המימוש) כתנאי מצטבר שיש לבדוק ביחס ל-266,000 ש"ח, תוך סימון מפורש שהיחס המדויק לא אומת ישירות מול נוסח הוראת ביצוע 10/2002 בשיחה זו ודורש בדיקה נוספת.</t>
  </si>
  <si>
    <t>כן. הוראת ביצוע מיסוי מקרקעין מס' 10/2002 מתייחסת למכירת אופציה שאינה מימוש, והפטור חל גם בשלב המסחר המשני — כלומר, גם על סיחור האופציה — ובלבד שהאופציה והעסקה עומדות בכל התנאים המצטברים של אופציה ייחודית. 📄 הרפורמה במיסוי מקרקעין - אופציות במקרקעין (הוראת שעה) (מ"ש 10/02)ציטוט ▼
לכן, עצם העובדה שהאופציה המקורית נחתמה בשנת 2025 אינה שוללת את הפטור. עם זאת, מהנתון של 266,000 ש"ח בלבד לא ניתן לקבוע אם תנאי התמורה מתקיים, משום שיש להשוותו לנתוני שווי הזכות במקרקעין או למחיר המימוש שבהסכם.
יש לוודא גם את יתר התנאים שבהוראת הביצוע, ובכלל זה שהאופציה היא בכתב, ניתנת להעברה, התחייבות המוכר בלתי חוזרת, תקופת המימוש עומדת בתנאי ההסדר, למחזיק לא ניתנה חזקה במקרקעין, ונמסרה הודעה למנהל במועד. 📄 הרפורמה במיסוי מקרקעין - אופציות במקרקעין (הוראת שעה) (מ"ש 10/02)ציטוט ▼
איחור במסירת ההודעה אינו שולל בהכרח את האפשרות לבקש את הפטור: לפי תוספת להוראת ביצוע 10/2002, המנהל רשאי להאריך את המועד לפי סעיף 107, תוך בחינת משך האיחור, זהות הצדדים, הסיבות לאיחור ונסיבות המקרה. 📄 פרק חמישי 2: אופציה ייחודית - הארכת מועד למסירת הודעה על מכירת אופציה (מ"ש 10/02(1))ציטוט ▼</t>
  </si>
  <si>
    <t>הרפורמה במיסוי מקרקעין - אופציות במקרקעין (הוראת שעה) (מ"ש 10/02)
ציטוט ▲
הסדר המיסוי המיוחד הקבוע בפרק חמישי 2 לחוק 1. הסדר המיסוי במכירת האופציה הייחודית סעיף 49י(ב) קובע: "על אף הוראות חוק זה, במכירה בתקופה הקובעת של אופציה, שאינה מימוש אופציה יחולו הוראות אלה: (1) המכירה תהיה פטורה ממס שבח, ממס מכירה וממס רכישה; (2) המכירה תהיה חייבת במס רווח הון לפי חלק ה' לפקודה או במס הכנסה לפי סעיף 2(1) לפקודה, הכל לפי הענין". א. מכירת האופציה שעמדה בתנאים המצטברים שפורטו לעיל תהא פטורה ממס שבח, מס מכירה ומס רכישה. ב. המכירה תתחייב במס הכנסה לפי סעיף 2(1) לפקודה או במס ריווח הון לפי פרק ה' לפקודה, לפי העניין. יצוין כי בעת מכירת האופציה לראשונה מבעל המקרקעין למחזיק, לא תקבע
📄 פרק חמישי 2: אופציה ייחודית - הארכת מועד למסירת הודעה על מכירת אופציה (מ"ש 10/02(1))
ציטוט ▲
הוראות - מס שבח ומס רכוש מ"ש 10/02(1) – 4.2.07 – פרק חמישי 2: אופציה ייחודית – הארכת מועד למסירת הודעה על מכירת אופציה מיסים כב/2 ג-104 ‏כ"ח שבט תשס"ח ‏04 פברואר 2008 תוספת מס' 1 להוראת ביצוע מיסוי מקרקעין מס' 10/2002 הנדון: פרק חמישי 2: אופציה ייחודית הארכת מועד למסירת הודעה על מכירת אופציה מבוא פרק חמישי 2 לחוק מיסוי מקרקעין (שבח, מכירה ורכישה), התשכ"ג-1963 (להלן: " החוק " או " הפרק " - לפי העניין) קובע הוראות מיסוי ייחודיות במכירת אופציה כהגדרתה בפרק (להלן - " אופציה ייחודית "). בפסקה 7 להגדרת "אופציה" נקבע כי יש למסור הודעה למנהל על מכירת האופציה בתוך 30 ימים מיום מתן האופציה. בהוראת</t>
  </si>
  <si>
    <t>מקורות</t>
  </si>
  <si>
    <t>ציון משוקלל מתוך תשובת רכזים, כולל הערות</t>
  </si>
  <si>
    <t>M01-Q01</t>
  </si>
  <si>
    <t>בן לסנס</t>
  </si>
  <si>
    <t>M01-Q02</t>
  </si>
  <si>
    <t>M01-Q03</t>
  </si>
  <si>
    <t>M01-Q04</t>
  </si>
  <si>
    <t>M01-Q05</t>
  </si>
  <si>
    <t>9.3 - משוקלל של 2 בודקים</t>
  </si>
  <si>
    <t>M02-Q03</t>
  </si>
  <si>
    <t xml:space="preserve">9.1 - משוקלל של 2 בודקים, </t>
  </si>
  <si>
    <t>M04-Q02</t>
  </si>
  <si>
    <t>M05-Q01</t>
  </si>
  <si>
    <t>בעסקת רווח הון הכוללת תמורה מותנית, מועד המיסוי תלוי במסלול הדיווח הנבחר:
**1. ברירת מחדל:**
כברירת מחדל, אירוע המס מתרחש ביום המכירה, ועל כלל התמורות בעסקה (לרבות רכיב התמורה המותנית) יש לדווח בתוך 30 ימים מיום המכירה, בהתאם לסעיף 91(ד) לפקודת מס הכנסה. (מקור: חוזר מס הכנסה 19/2018, סעיף 5.4, מתוך chunk 2)
**2. מסלול דיווח חלופי (לבחירת הנישום):**
לאור אי-הוודאות וחוסר היכולת לכמת תמורה מותנית, רשאי הנישום לבחור במסלול דיווח חלופי, בכפוף להסדר מול פקיד השומה. במסלול זה:
*   **מועד חישוב ותשלום המס:** מועד חישוב המס ותשלום המס לגבי רכיב התמורה המותנית יידחה למועד או למועדים שבהם תמורה זו או חלקים ממנה **ישולמו בפועל או שיהפכו לוודאיים (לפי המוקדם מבין השניים)**. (מקור: חוזר מס הכנסה 19/2018, סעיף 4.4.2, מתוך chunk 0)
*   **אירוע המס:** דחיית מועד חישוב המס אינה דוחה את אירוע המס ואינה יוצרת אירוע מס נוסף. יום המכירה ויום הרכישה יישארו אלו שנקבעו לעניין אירוע המס המקורי של מכירת הזכויות בתאגיד. (מקור: חוזר מס הכנסה 19/2018, סעיף 4.4.3, מתוך chunk 0)
*   **דיווח:** במועד שבו רכיב התמורה המותנית או חלקים ממנה ישולמו בפועל או יהפכו לוודאיים, לפי המוקדם מבין השניים, יש לדווח לפקיד השומה במתכונת שנקבעה בסעיף 91(ד) לפקודה ולשלם את המס הנובע מרכיב התמורה המותנית. (מקור: חוזר מס הכנסה 19/2018, סעיף 4.4.4.3, מתוך chunk 3)
**הערה לגבי פסיקה:** החוזר המצוטט אינו מפנה לפסיקה רלוונטית ספציפית בנושא זה.</t>
  </si>
  <si>
    <t>M05-Q03</t>
  </si>
  <si>
    <t xml:space="preserve">כאשר נישום מבקש לדווח במסלול שוכר-משכיר (10% מס) ואין בידיו חוזה שכירות חתום כדין, קיימות שתי חלופות עיקריות: הגשת תצהיר חתום בפני עורך דין מטעם המשכיר, או הגשת הצהרה מטעם המייצג (בשם הלקוח/המשכיר). על התצהיר או ההצהרה לכלול את הפרטים הבאים: פרטי הנכס המושכר, פרטי המשכיר והשוכר, תקופת השכירות המדוברת וגובה שכר הדירה החודשי. הנחיה זו נועדה להקל על תהליך הדיווח במקרים של קושי טכני בהצגת החוזה המקורי, תוך שמירה על רמת הפירוט הנדרשת לצורכי המס. האסמכתאות החלופיות המצוינות הן תצהיר או הצהרה, ולא מוזכרות דפי בנק או חשבונות רשות מקומית כחלופה לחוזה עצמו.
</t>
  </si>
  <si>
    <t>M05-Q04</t>
  </si>
  <si>
    <t>לפני חידוש אישור 'חברה מיוחדת', יש לבחון את התנאים הבאים:
1.  **ביקורות מס:** בביקורות שנערכו לחברה ב-3 השנים האחרונות (ביקורות ניכויים ושומה), לא התגלו ממצאים בנושא ניכוי מס במקור מהעברות לחו"ל.
2.  **הליכים פליליים:** כנגד החברה ו/או מנהליה לא מתנהלים כל חקירה ו/או הליך בתחום הפלילי.
3.  **עמידה בהוראות קודמות:** אם החברה קיבלה אישור 'חברה מיוחדת' בשנים קודמות, פקיד השומה יבחן כי החברה נהגה בעבר ונוהגת באופן שוטף בהתאם לסעיף 4 לתוספת להוראת הביצוע 34/93 וכי ביצעה את המוטל עליה באותו סעיף.
4.  **אחריות לתשלום מס:** יודגש כי אם הועברו סכומים לחו"ל ללא ניכוי מס או בניכוי בשיעור מופחת, ויתברר כי היה על החברה לנכות מס במקור בשיעור גבוה מהשיעור שנוכה, החברה תהיה אחראית לתשלום המס. האישור אינו גורע מחובות אלו.
כסימוכין, על החברה לספק תיעוד והצהרות המעידים על עמידתה בתנאים אלו. באופן ספציפי, יש לבקש:
*   הצהרה על היעדר ממצאים בביקורות מס הנוגעות לניכוי מס במקור מהעברות לחו"ל ב-3 השנים האחרונות.
*   הצהרה על היעדר חקירות או הליכים פליליים כנגד החברה ו/או מנהליה.
*   תיעוד המעיד על עמידה שוטפת בהוראות סעיף 4 לתוספת להוראת ביצוע 34/93, לרבות רישומי תשלומים לתושבי חוץ, חישובי ניכוי מס במקור ואישורי העברת מס.
*   אישור כי החברה מודעת לאחריותה לתשלום מס במקרה של ניכוי חסר או שגוי.</t>
  </si>
  <si>
    <t>תוספת מספר 1 להוראת ביצוע 34_93 – עדכון לעניין _חברות מיוחדות_ ניכוי מס במקור מתשלומים לתושבי חוץ.pdf
564-ה ב 6-2006 - ניכויים תוכנית עבודה בתחום הניכויים לשנת 2006 .pdf</t>
  </si>
  <si>
    <t>M05-Q05</t>
  </si>
  <si>
    <t>M06-Q01</t>
  </si>
  <si>
    <t xml:space="preserve">9.7 - משוקלל של 2 בודקים, </t>
  </si>
  <si>
    <t>? ציון בין 6-4? - מבוססת על מקורות נכונים, ומזהה נכון את שלל הרבדים הרלוונטיים (מהות/הכרעה/השלכות) – אך המסקנה המרכזית מוצגת בביטחון-יתר שאינו נתמך במלואו במקורות המצוטטים, תוך טשטוש ההבחנה הקריטית בין "הימנעות מחוות דעת" (המובילה ישירות להנמקה 77) לבין "הסתייגות רחבה" (המחייבת התייעצות עם החטיבה המק</t>
  </si>
  <si>
    <t>M07-Q01</t>
  </si>
  <si>
    <t>קורל</t>
  </si>
  <si>
    <t>M07-Q02</t>
  </si>
  <si>
    <t>M07-Q03</t>
  </si>
  <si>
    <t>M07-Q04</t>
  </si>
  <si>
    <t>לא, הנישום אינו מאבד את כל ההטבה. במקרה שהכנסתו של נישום ממכירת חשמל עולה על הסכום המירבי הפטור, הוא עדיין יוכל ליהנות מהטבת המס שבחר (פטור ממס או מס מופחת) עד לסכום המירבי. הוראות הדין הרגיל יחולו רק על חלק ההכנסה העולה על הסכום המירבי.</t>
  </si>
  <si>
    <t>M07-Q05</t>
  </si>
  <si>
    <t>M08-Q04</t>
  </si>
  <si>
    <t>M08-Q05</t>
  </si>
  <si>
    <t>M09-Q02</t>
  </si>
  <si>
    <t>M09-Q03</t>
  </si>
  <si>
    <t>M10-Q01</t>
  </si>
  <si>
    <t>M10-Q02</t>
  </si>
  <si>
    <t>M10-Q03</t>
  </si>
  <si>
    <t>M10-Q04</t>
  </si>
  <si>
    <t>#</t>
  </si>
  <si>
    <t>תשובה</t>
  </si>
  <si>
    <t>כדי לבקש הפחתת ערובה בפרויקט בנייה, יש להגיש לפקיד השומה בקשה בצירוף דו"ח אפס מעודכן ומידע מלא על הקבלן והפרויקט.
• בפרויקטים בליווי בנקאי: להגיש את הבקשה על גבי טופס 7017א, הכולל את פרטי הנישום, מספר התיק, ספר הבניין, שם הפרויקט, גוש וחלקה, מועדי סיום הבנייה והליווי, ושם הבנק המלווה. יש לצרף את טופס 7503 לצורך הקטנת "הסכום הקובע", וכן דו"ח אפס מעודכן.
• יש להמציא את כתב ההוראות הבלתי חוזרות לבנק באמצעות טופס 7501, ואישור הבנק על קבלתן באמצעות טופס 7502. בסיום הליווי יש להמציא את דו"ח האפס האחרון של המפקח מטעם הבנק ואת טופס 702.
• לגבי הקבלן, יש לרכז: אישור שהוא קבלן רשום; מחזור פעילות הבנייה; קיום חובות ניכויים או שומות; פסילת ספרים; הליכי פירוק או כינוס; תיקי חקר; תשלום מקדמות; עמידה בערבויות; פעילות ודיווח כקבלן; והגשת טופס 701 למיסוי מקרקעין.
הפחתת הערובה תישקל כאשר דו"ח האפס המעודכן מצביע על ירידה במס הצפוי, למשל בשל שינוי בתחזית הפרויקט או הפסדים צבורים/צפויים.</t>
  </si>
  <si>
    <t>עדכון להוראת ביצוע 2/2010 - אישור לפרויקט (הו"ב 1-2/2010)
סוגי אישורים, ערבות והקפאות חוב מס שבח במתן אישור לפי סעיף 50 לחוק מיסוי מקרקעין (הו"ב מ"ה 8/2021)
הקפאות חוב מס שבח לפי סעיף 50 לחוק מיסוי מקרקעין, וערבות במתן טופס 50 (הו"ב 2/10)</t>
  </si>
  <si>
    <t>כאשר חוות הדעת חלקה אך מפנה לביאור שמלמד שחלקים גדולים מהדוח לא בוקרו, האם מדובר בדוח סתמי, היינו הנמקה 77?</t>
  </si>
  <si>
    <t>המסקנה היא: לא בהכרח. חוות דעת מסויגת, גם אם היא מתייחסת לליקויים משמעותיים, אינה הופכת אוטומטית את הדוח לדוח סתמי לפי הנמקה 77. לעומת זאת, אם מהביאור עולה שבפועל קיימת הגבלה כה מהותית בביקורת עד שרואה החשבון אינו יכול לחוות דעה על הדוחות בכללותם — יש בסיס לראות בדוח כדוח ללא חוות דעת, ולשקול הנמקה 77.
ההבחנה לפי הוראות הביצוע:
בהוראת ביצוע מס הכנסה 4/2018 נקבעו שלוש אפשרויות רלוונטיות:
1. הפניית תשומת לב – כאשר העניין אינו משפיע על חוות דעת המבקר. ההוראה מציינת כי הפניה כזו עשויה להתייחס לעניין משמעותי המפורט בביאור, אך אינה משנה את חוות דעת המבקר, אשר נותרת בלתי מסויגת.
2. חוות דעת מסויגת – כאשר קיימת סיבה מהותית שמונעת מתן חוות דעת בלתי מסויגת, אך השפעתה אינה כה מהותית עד שנדרשת חוות דעת שלילית או הימנעות מחוות דעת.
3. הימנעות מחוות דעת – כאשר ההשפעה האפשרית של ההגבלה בביקורת מהותית עד כדי כך שהמבקר אינו יכול לחוות דעה על הדוחות הכספיים.
מתי נכנסת לתמונה הנמקה 77:
הוראת הביצוע העוסקת בניתוב דוחות לשנת המס 2024 קובעת כי הנמקה 77 מיועדת למקרה שבו חסרים בדוח מסמכים מהותיים, ובכלל זה דוח כספי ללא חוות דעת רואה חשבון, כאשר החסר עשוי להביא לקביעה שלפיה הנישום לא הגיש דוח. גם הוראות הביצוע הקודמות קובעות כי דוח של חבר בני אדם ללא דוח רואה חשבון מבקר אינו נחשב, ככלל, לדוח לפי סעיף 131, ויש לדרוש את השלמת החסר. אם החסר אינו מושלם, ניתן להתקדם לטיפול מתאים בהתאם להחלטת הרכז ולנוהל החל.
יישום למקרה שתיארת:
אם מדובר בחוות דעת מסויגת אמיתית, והביאור רק מפרט את היקף ההסתייגויות או מפנה לליקויים מסוימים — אין בהוראות הביצוע כלל המחייב שהוראה כזו שוללת עצם קיומה של חוות דעת.
לעומת זאת, אם מהניסוח בביאור נלמד כי:
• רואה החשבון לא ביצע ביקורת בחלקים מהותיים של הדוחות;
• אין בידיו ראיות ביקורת מספיקות;
• ההגבלה משפיעה על סעיפים מהותיים או על הדוחות בכללותם; או
• מבחינה מהותית מדובר בהיעדר חוות דעת, אף שהניסוח הפורמלי משתמש במונח "מסויגת" —
אזי ניתן לטעון כי הדוח אינו כולל למעשה חוות דעת מבוקרת, ולכן מתקיימת תשתית להפעלת הנמקה 77, בכפוף לדרישה להשלמת המסמכים החסרים ולנוהל הקבוע בהוראת הביצוע.
מסקנה:
הנתון המכריע אינו עצם ההפניה לביאור או קיומה של "חוות דעת מסויגת", אלא השאלה אם מבחינה מהותית ניתנה חוות דעת על הדוחות בכללותם, או שקיימת הימנעות מחוות דעת בפועל. על סמך ההוראות שאותרו, אין כלל אוטומטי שלפיו "חלקים גדולים שלא בוקרו" כשלעצמו הופך חוות דעת מסויגת לדוח ללא חוות דעת; יש לבדוק את נוסח חוות הדעת ואת היקף ההגבלה בפועל</t>
  </si>
  <si>
    <t>הוראת ביצוע מס הכנסה מספר 4/2018 (דוחות חבר בני אדם שהוגשו ללא חוות דעת או עם חוות דעת הסוטה מהנוסח האחיד) (חוות דעת לא "חלקה")
ניתוב שלב א ושינויים בשידור דוחות ושומות יחידים וחברות לשנת המס 2024 (הו"ב מ"ה 7/25)</t>
  </si>
  <si>
    <t xml:space="preserve">תקציר מנהלים:
על פי הוראת ביצוע 36/92, הוצאות מימון המיוחסות לנכס השקעה שאינו משמש בייצור הכנסה אינן מותרות בניכוי. יש לבצע ייחוס של הוצאות המימון לנכסים המניבים, למלאי ולהוצאות שוטפות, בהתאם לסדר שנקבע בהוראה.
המקור שאותר אינו כולל נוסחה עדכנית לשנת 2026. שיעור של 20%, או 30% בשנת המס 1986, מופיע בהוראה הישנה לגבי הוצאות ריבית שיוחסו לנכסים קבועים שלא ישמשו לייצור הכנסה. אין להציג שיעורים אלה כשיעורים עדכניים בלי אימות נוסף.
השאלה המשפטית:
מהם, לפי הוראות הביצוע בלבד, כלל המס ותנאי הסף להתרת הוצאות מימון כאשר במאזן הנישום קיים נכס שאינו מניב הכנסה מוחשית, כיצד מחושבת ההוצאה המותרת, ומהם נטל ההוכחה ודרישות התיעוד?
המסגרת לפי הוראות הביצוע
1. כלל המס:
הוראת ביצוע 36/92 מנחה כי כאשר כספי העסק שימשו לרכישת נכס שאינו משמש בייצור הכנסה, יש לייחס לנכס זה את הוצאות המימון המתאימות — והוצאות אלה אינן מותרות בניכוי. ההוראה מתייחסת גם למצב שבו כספי העסק שימשו למשיכה או הוצאה פרטית, וקובעת כי מטרתה להנחות את המפקחים באי-התרת הוצאות מימון במקרים שבהם כספי העסק שימשו לשימוש שאינו לייצור הכנסה.
2. תנאי הסף:
לפי הוראת הביצוע, התנאי המרכזי להתרת הוצאות מימון הוא שההון שנלווה שימש בייצור הכנסה. לכן, כאשר הנכס:
• נרכש כהשקעה;
• אינו משמש בייצור הכנסה;
• אינו מניב הכנסה בתקופה הרלוונטית; או
• קשור לשימוש פרטי או למשיכה שאינה עסקית,
הוצאות המימון המיוחסות אליו אינן נכללות בחלק המותר בניכוי. לעומת זאת, היתרה שאינה מיוחסת לנכס הלא-מניב עשויה להיות מיוחסת לנכסים קבועים המשמשים בייצור הכנסה, למלאי, ולאחר מכן לפעילות העסקית — בכפוף לכללים המפורטים בהוראה.
3. אופן הייחוס והחישוב:
הוראת ביצוע 36/92 מציגה את הסדר הבא:
1. הוצאות המימון בגין נכסי ההשקעה שאינם משמשים בייצור הכנסה — אינן מותרות בניכוי.
2. יתרת הריבית — לאחר נטרול הסכום המיוחס לנכסי ההשקעה — מיוחסת תחילה לרכישת נכסים קבועים המשמשים בייצור ההכנסה.
3. לגבי הוצאות המימון המיוחסות לנכסים הקבועים, ההוראה מציינת כי יוכרו 20%, או 30% בשנת המס 1986, כהוצאה, והיתרה מיוחסת למלאי בהתאם לכללים שנקבעו בהוראה.
הנוסחה המעשית העולה מן ההוראה היא, אפוא:
הוצאות מימון כוללות
פחות: הוצאות המיוחסות לנכס לא-מניב
שווה: יתרת הוצאות המימון לייחוס
מתוכה: ייחוס לנכסים קבועים מניבים, למלאי ולהוצאות שוטפות לפי סדר ההוראה.
עם זאת, שיעורי ה-20% וה-30% המופיעים במקור קשורים להסדר היסטורי ולשנת מס מסוימת. לא נמצא בהוראות הביצוע שאותרו שיעור עדכני לשנת 2026, ולכן אין להשתמש בשיעור ההיסטורי כאילו הוא השיעור העדכני.
4. נכס שטרם החל לשמש בייצור הכנסה:
הוראת ביצוע 36/92 מתייחסת גם לנישום עליו חל סעיף 18(ד) לפקודה, ומבהירה כי כאשר מדובר בבניית נכס הון או ביחידת דיור בנכס הון, יש לייחס את הריבית וההצמדה הרלוונטיים לעלות הבנייה או לעלות הנכס.
בנוסף, הוראת ביצוע 18/01 מציינת כי לגבי נכס שטרם החל לשמש בייצור הכנסה, הוצאות ריבית אינן מוכרות כהוצאה שוטפת בתקופת ההקמה שקדמה להפעלת הנכס, אלא מטופלות בהתאם למנגנון שנקבע בהוראה.
לכן קיימת הבחנה בין:
• נכס השקעה שאינו מניב — הוצאות המימון המיוחסות אליו אינן מותרות בניכוי;
• נכס עסקי המצוי בתקופת הקמה ועתיד לשמש בייצור הכנסה — הוצאות המימון עשויות להיזקף לעלות הנכס או לעלות הבנייה, ולא בהכרח להינתן כניכוי שוטף בתקופת ההקמה, בהתאם למנגנון ההקמה.
5. שיעור ההוצאה:
בהוראות הביצוע שאותרו לא נמצא שיעור עדכני לשנת 2026 להתרת הוצאות מימון במקרה של נכס לא-מניב.
השיעורים היחידים שאותרו הם:
• 20% מהוצאות הריבית המיוחסות לנכס קבוע;
• 30% בשנת המס 1986.
אלה נתונים היסטוריים, והמקור אינו מאפשר לקבוע אם הם עדיין חלים. לפיכך, על סמך מאגרי מיסים אונליין, לא ניתן לאשר שיעור ניכוי עדכני לשנת 2026 במסגרת המצומצמת שלפיה יש להשתמש רק בהוראות הביצוע.
6. נטל ההוכחה:
• מהו מקור המימון;
• לאיזה שימוש הופנו כספי ההלוואה;
• איזה חלק מהכספים שימש לרכישת הנכס הלא-מניב;
• איזה חלק שימש בנכסים מניבים או בפעילות עסקית;
• כיצד חושב הייחוס בין השימושים השונים.
כאשר הנישום אינו מסוגל להפריד בין השימושים, קיים קושי להוכיח כי הוצאות המימון אכן קשורות להכנסה החייבת עסקית. לפי הוראת הביצוע, יש לבצע את הייחוס לפי השימוש בפועל, ולא להסתפק בכך שההלוואה נרשמה בספרי העסק או שהנכס מופיע במאזן.
7. דרישות תיעוד:
הוראת ביצוע 36/92 מפנה לצורך בתיעוד הקשר בין המימון לבין הנכס, ובין היתר מציינת רישום של הנכס בספרי החשבונות או רישום של משכנתא, משכון או הערת אזהרה. עם זאת, הקטע שאותר מן ההוראה נקטע לפני פירוט מלא של הדרישות.
לכן ניתן לבסס על המקור את הצורך המעשי ב:
• רישום הנכס בספרי החשבונות;
• תיעוד מקור ההלוואה;
• תיעוד תנועת כספי ההלוואה;
• הפרדה בין כספים שהופנו לנכס הלא-מניב לבין כספים שהופנו לפעילות מניבה;
• מסמכי מימון, חשבונות בנק ורישומים חשבונאיים המאפשרים לבצע את הייחוס.
עם זאת, המקור שאותר אינו כולל את הרשימה המלאה והמדויקת של דרישות התיעוד, ולכן אין לקבוע על סמך הוראות הביצוע שנמצאו אם מדובר בדרישות חלופיות או מצטברות.
ניתוח יישומי:
כאשר במאזן קיים נכס לא-מניב, יש להבחין בין קיומו של הנכס לבין השימוש שנעשה בכספי ההלוואה:
• אם כספי ההלוואה שימשו לרכישת הנכס הלא-מניב — הוצאות המימון המיוחסות לחלק זה אינן מותרות בניכוי.
• אם ההלוואה שימשה בחלקה לרכישת הנכס הלא-מניב ובחלקה לפעילות עסקית מניבה — יש לבצע ייחוס יחסי.
• אם הנכס טרם הופעל אך נועד לשמש בפעילות עסקית — יש לבחון אם מדובר בתקופת הקמה מוכרת, שבה ריבית עשויה להיזקף לעלות הנכס ולא להינתן כניכוי שוטף.
• אם הנישום אינו מציג תיעוד המאפשר לייחס את הכספים לשימושים השונים — הוראת הביצוע מאפשרת לפקיד השומה לבסס את הייחוס על נתונים חשבונאיים כלליים ולא רק על עצם רישום הנכס.
מסקנה והמלצות:
המסקנה לפי הוראות הביצוע היא כי הוצאות מימון המיוחסות לנכס שאינו משמש בייצור הכנסה אינן מותרות בניכוי. יש לנטרל תחילה את החלק המיוחס לנכס הלא-מניב, ולאחר מכן לבצע ייחוס של היתרה לנכסים מניבים, למלאי ולפעילות העסקית לפי סדר ההוראה.
מומלץ לנישום להכין:
1. טבלת תנועות מלאה של ההלוואות ושל כספי ההלוואה;
2. מיפוי של כל שימוש בכספים;
3. חישוב נפרד של החלק המיוחס לנכס הלא-מניב;
4. תיעוד בנקאי וחשבונאי לכל שימוש;
5. הסבר מקצועי לשיטת הייחוס;
6. בדיקה עדכנית של שיעור הניכוי, מאחר שהמקורות שאותרו כוללים שיעורים היסטוריים בלבד.
</t>
  </si>
  <si>
    <t>ה"ב 1 36/92 9.7.92 — יחוס הוצאות מימון להשקעה שאינה משמשת בייצור הכנסה או לרכוש קבוע. הפעלת סעיף 2. הפעלת סעיף 3(ט) בעקבות חוק התיאומים
יישום הוראות חוק התיאומים בשנת המס 2000 (ה"ב 18/01)</t>
  </si>
  <si>
    <t>תקציר מנהלים:
כן, ניתן לראות בדוח "דוח סתמי" ולשדר הנמקה 77, אם חוות הדעת המצורפת היא למעשה הימנעות מחוות דעת הנובעת מהגבלה מהותית בביקורת, באופן שבו רואה החשבון נמנע מלהביע דעה על הדוחות, או שחלקים מהותיים מהם לא בוקרו. עם זאת, העובדה שחוות הדעת אינה "חלקה" אינה מספיקה כשלעצמה: יש לבדוק את נוסח חוות הדעת ואת השפעת החלקים שלא בוקרו על הכנסתה החייבת.
מהות הדוח לפי הוראת הביצוע:
הוראת ביצוע מס הכנסה מספר 4/2018 מבחינה בין:
1. דוח ללא דוח רואה חשבון מבקר;
2. דוח עם חוות דעת הכוללת סטייה מהנוסח האחיד;
3. הימנעות מחוות דעת, כאשר ההגבלה כה מהותית בביקורת.
ההוראה קובעת לגבי הימנעות מחוות דעת: "מבקר ימנע ממתן חוות דעת בהתקיים אחד מהתנאים הבאים: שההשפעה האפשרית של ההגבלה בביקורת היא מהותית עד כדי כך שהמבקר אינו יכול לחוות דעה על הדוחות הכספיים."
עוד נקבע בהוראה: "ככלל, דוח של חבר בני אדם הכולל דוח כספי ללא חוות דעת רואה חשבון מבקר אינו דוח לפי סעיף 131 לפקודה."
ובהמשך: "יש להודיע לחברה כי לא יראו בדוח שהוגש כדוח כאמור..."
האם חוות דעת חלקית מספיקה להנמקה 77:
לא כל חוות דעת חלקית הופכת את הדוח לדוח סתמי. השאלה האופרטיבית היא מה משמעות ההסתייגויות או ההפניה לביאור.
מצב המצדיק הנמקה 77:
כאשר הביאור מציין כי:
• חלקים מהותיים מהדוחות לא בוקרו;
• קיימת הגבלה מהותית בהיקף הביקורת;
• רואה החשבון אינו יכול לחוות דעה על הדוחות הכספיים;
• קיימת הימנעות כללית או רחבה ממתן חוות דעת.
הרי שמדובר, לפי הוראת הביצוע, בדוח שאינו "מאושר" במובן הנדרש, ויש לפעול כלפיו כדוח ללא חוות דעת — לרבות שידור הנמקה 77.
העובדה שהחלקים שלא בוקרו הם "חלקים גדולים" מהדוח מהווה אינדיקציה חזקה לכך שמדובר בהגבלה מהותית, אך יש לבסס זאת על נוסח חוות הדעת והביאור עצמו, ולא רק על היקף מספרי כללי.
מצב שאינו מצדיק אוטומטית הנמקה 77:
הוראת הביצוע כוללת חריגים: "במקרים חריגים בהם רואה החשבון המבקר יצהיר כי ההימנעות נבעה מהגבלה בביקורת על סעיפים שאינם משפיעים על הכנסתה החייבת של הישות, וכן שאר הסעיפים הכספיים בדוחות בוקרו על ידו, יש לקלוט את דוחותיה של הישות."
לכן, אם מתקיימים במצטבר התנאים הבאים:
1. ההימנעות נוגעת רק לסעיפים שאינם משפיעים על ההכנסה החייבת;
2. רואה החשבון מצהיר זאת במפורש;
3. יתר סעיפי הדוחות הכספיים אכן בוקרו,
ניתן לקלוט את הדוח, ואין לראות בו בהכרח דוח סתמי. זהו חריג מצומצם, והמקור מגדיר אותו כ"מקרים חריגים".
הכרעה אופרטיבית:
בנסיבות שתוארו, שבהן חוות הדעת מפנה לביאור שממנו עולה כי חלקים גדולים מהדוח לא בוקרו, ההכרעה המעשית היא:
• אם נוסח חוות הדעת משקף הימנעות מחוות דעת או הגבלה מהותית — יש לראות בדוח שאינו עומד בדרישת דוח מאושר, ולשדר קוד הנמקה 77;
• אם מדובר בהגבלה נקודתית שרואה החשבון מצהיר שהסעיפים שלא בוקרו אינם משפיעים על ההכנסה החייבת, ויתר הדוח בוקר — יש לבחון קבלת הדוח מכוח החריג;
• אם הביאור אינו מאפשר לקבוע שהסעיפים שלא בוקרו אינם משפיעים על ההכנסה החייבת — אין בסיס להחלת החריג, רק מכוח קיומה של חתימת רואה חשבון על הדוח.
ההליך הנדרש לפני הפעלת ההנמקה:
הוראת הביצוע העדכנית מדברת על 30 יום להמצאת המסמכים. אם המסמכים אינם מומצאים במועד, יש לפעול לפי הקביעה המתאימה בהחלטת הרכז.
בהוראת ביצוע 4/2018 מופיעה ביחס למקרה של דוח ללא דוח מבקר תקופה של 14 יום. מאחר שהוראת הביצוע העדכנית יותר שאותרה קובעת 30 יום, יש להעדיף את המאוחרת יותר במקרה שההנחיה מתבצעת לפי אותה הוראה.
השלכות ישירות:
שידור הנמקה 77 משקף כי הדוח אינו נחשב כדוח שהוגש כדין לצורך ההליך המתואר בהוראות הביצוע. ההשלכות הישירות הן:
• הדוח לא יטופל כדוח מאושר רגיל;
• תידרש השלמת חוות דעת המבקר או המסמכים החסרים;
• אם החסר לא יושלם, ניתן להתקדם לטיפול של שומה בהתאם להחלטת הרכז ולנוהל החל;
• אין להסתפק בהפניה כללית לביאור, אלא יש לבחון האם הביאור שולל ביקורת של סעיפים מהותיים או מונע מרואה החשבון לחוות דעה על הדוחות בכללותם.
מסקנה:
על סמך ההוראות בלבד, כאשר חוות הדעת מפנה לביאור שממנו עולה כי חלקים גדולים ומהותיים מהדוח לא בוקרו — ובפרט כאשר רואה החשבון נמנע מלהביע דעה על הדוחות בכללותם — ניתן לראות בדוח כדוח ללא חוות דעת ולשדר קוד הנמקה 77, לאחר משלוח דרישה מסודרת להשלמת המסמכים החסרים. עם זאת, אם רואה החשבון מצהיר במפורש שההימנעות נוגעת רק לסעיפים שאינם משפיעים על ההכנסה החייבת, ושאר הדוחות בוקרו — חל החריג, ויש לבחון קליטת הדוח בהתאם לכך.</t>
  </si>
  <si>
    <t>חברה שנידונה אצלי בחוליה נרכשה על ידי חברה זרה. החברה הרוכשת משלמת את כספי התמורה לבעלי מניות תושבי חוץ. מי הגורם המנפיק את האישור עבור העברה לחול? הכסף עובר דרך נאמן ישראלי ולכן נדרש אישור.</t>
  </si>
  <si>
    <t>הגורם המנפיק הוא משרד השומה שבו מתנהל תיק המשלם — ובמקרה זה יש לפנות למשרד השומה של הנאמן הישראלי, ככל שהוא הגורם המשלם בפועל; עם זאת, מאחר שמדובר בתמורה בגין מכירת מניות לתושבי חוץ, מומלץ לפנות בבקשה לטיפול של מחלקת הניכויים ברשות המסים, בהתייעצות עם פקיד השומה.
• הוראת ביצוע 34/93 קובעת שאישורים לתשלומים לתושבי חוץ מונפקים על ידי משרד השומה שבו מתנהל תיק המשלם, ואילו אישורים הנוגעים ל"רווחי הון" מונפקים על ידי מחלקת הניכויים בנציבות מס הכנסה עם פקיד השומה.
• הוראת הביצוע קובעת גם כי החובה חלה על הגורם המשלם בפועל; לכן העובדה שהכספים עוברים דרך נאמן ישראלי אינה מייתרת את החובה על הגורם המשלם — נאמן ישראלי הוא הגורם שחלה עליו חובת ניכוי המס במקור על הכספים המועברים.
• בהוראת הביצוע לשנת המס 2026 נקבע כי אישורים ניתנים בהתאם להנחיות המחלקה למיסוי בינלאומי בחטיבה המקצועית, אישורי ניכוי מס במקור ואישורים לפי חוק עסקאות גופים ציבוריים לשנת 2026 (הו"ב מ"ה 2/26).
הסייג החשוב: אם הנאמן אינו הגורם המשלם אלא רק מחזיק ומעביר את התמורה, יש לבחון אם האישור צריך להירשם על שם החברה הרוכשת או על שם הנאמן כ"נאמן משלם".</t>
  </si>
  <si>
    <t>אישורי ניכוי מס במקור ואישורים לפי חוק עסקאות גופים ציבוריים לשנת 2026 (הו"ב מ"ה 2/26)
ה"ב 34/93 30.5.93 — ניכוי מס במקור מתשלומים לתושבי חוץ
ה"ב 34/93(1) 26.1.98 — ניכוי מס במקור מתשלומים לתושבי חוץ</t>
  </si>
  <si>
    <t>COUNTA of ID</t>
  </si>
  <si>
    <t>סיכום שאלות</t>
  </si>
  <si>
    <t>נכונה</t>
  </si>
  <si>
    <t>שגויה</t>
  </si>
  <si>
    <t>Grand Total</t>
  </si>
  <si>
    <t>שם מפקח</t>
  </si>
  <si>
    <t>קישור שאלון</t>
  </si>
  <si>
    <t>טלפון</t>
  </si>
  <si>
    <t>מייל</t>
  </si>
  <si>
    <t>סטטוס</t>
  </si>
  <si>
    <t>הערות אנדרי</t>
  </si>
  <si>
    <t>https://docs.google.com/forms/d/1I-bNZEA1u6H0mSCiXFG1UKBPdKa6L_Yt39qbZ4VoO14/edit</t>
  </si>
  <si>
    <r>
      <rPr>
        <rFont val="Arial, sans-serif"/>
        <color rgb="FF1155CC"/>
        <sz val="10.0"/>
        <u/>
      </rPr>
      <t>benyaminle@taxes.gov.il</t>
    </r>
  </si>
  <si>
    <t>בחו"ל חוזר בתחילת ספטמבר</t>
  </si>
  <si>
    <t>קורל הולנדר</t>
  </si>
  <si>
    <t>https://docs.google.com/forms/d/1wNJtlOI-jNOd48Fi0o27QgD7jDC7zpm9jPLI4CdYoxQ/edit</t>
  </si>
  <si>
    <t>CoralHo@taxes.gov.il</t>
  </si>
  <si>
    <t>בחו"ל עד 30.8.2026, ענתה במערכת, יש לבקש שתענה בטופס</t>
  </si>
  <si>
    <t>https://docs.google.com/forms/d/1yGVoBUXUzW_8cpfb1ymeFywDOlmOIFVsG9Hal6Vu3-4/edit</t>
  </si>
  <si>
    <r>
      <rPr>
        <rFont val="Arial, sans-serif"/>
        <color rgb="FF1155CC"/>
        <sz val="12.0"/>
        <u/>
      </rPr>
      <t>oferba@taxes.gov.il</t>
    </r>
  </si>
  <si>
    <t>אמר שענה במערכת, יש לבקש שיענה בטופס, חוזר מחו"ל ב 30.8.2026</t>
  </si>
  <si>
    <t>https://docs.google.com/forms/d/1kUODHpmApCw50xb5Tva6I4yW9mTx0bnI63RrP4Y6ZDo/edit</t>
  </si>
  <si>
    <r>
      <rPr>
        <rFont val="Arial, sans-serif"/>
        <color rgb="FF1155CC"/>
        <sz val="12.0"/>
        <u/>
      </rPr>
      <t>tatarye@taxes.gov.il</t>
    </r>
  </si>
  <si>
    <t>בחול עד ה30 לאוגוסט</t>
  </si>
  <si>
    <t>https://docs.google.com/forms/d/1tXWI5QjdtRNW7fNkjkxwPtwtl7nGgPGSZ8y4Qpq8qWY/edit</t>
  </si>
  <si>
    <t>tzlilEm@taxes.gov.il</t>
  </si>
  <si>
    <t>ענתה</t>
  </si>
  <si>
    <t>https://docs.google.com/forms/d/1JcYKZaYpYoYAiSU-JGKJaTZs0nnIoQp8FQNDUD5qjz0/edit</t>
  </si>
  <si>
    <r>
      <rPr>
        <rFont val="Arial, sans-serif"/>
        <color rgb="FF1155CC"/>
        <sz val="12.0"/>
        <u/>
      </rPr>
      <t>tomye@taxes.gov.il</t>
    </r>
  </si>
  <si>
    <t>ענה</t>
  </si>
  <si>
    <t>https://docs.google.com/forms/d/1tLLUKPUHPfgjqnBSv6TzNh1f273TR_tFR1dTY_AR64Y/edit</t>
  </si>
  <si>
    <t>RonyZa@taxes.gov.il</t>
  </si>
  <si>
    <t>https://docs.google.com/forms/d/17y3iC88Wfv5Ofd4XcURdqHWbtG57pxFtmGbztlRd6sU/edit</t>
  </si>
  <si>
    <t>MichaelLe@taxes.gov.il</t>
  </si>
  <si>
    <t>https://docs.google.com/forms/d/1FKfeRWVahHX2wJmrm_00o0JL2ZlDnnfU_eplR3vdNOY/edit</t>
  </si>
  <si>
    <r>
      <rPr>
        <rFont val="Arial, sans-serif"/>
        <color rgb="FF1155CC"/>
        <sz val="10.0"/>
        <u/>
      </rPr>
      <t>liranye@taxes.gov.il</t>
    </r>
  </si>
  <si>
    <t>ניר פרנקל</t>
  </si>
  <si>
    <t>https://docs.google.com/forms/d/1GC3mZ9gf7SKImmvoHgWAVHRlltZWW-xXnENt2nQ2M5M/edit</t>
  </si>
  <si>
    <t>NirFr@taxes.gov.il</t>
  </si>
  <si>
    <t>האם התשובה נכונה?  2</t>
  </si>
  <si>
    <t xml:space="preserve">  עד כמה התשובה מדויקת?   2</t>
  </si>
  <si>
    <t xml:space="preserve">  פירוט לגבי הדיוק   2</t>
  </si>
  <si>
    <t xml:space="preserve">  עד כמה התשובה שלמה?   2</t>
  </si>
  <si>
    <t>פירוט לגבי שלמות התשובה 2</t>
  </si>
  <si>
    <t xml:space="preserve">  עד כמה המסמכים שהמודל הביא רלוונטיים לשאלה?   2</t>
  </si>
  <si>
    <t xml:space="preserve">  פירוט לגבי רלוונטיות המקורות   2</t>
  </si>
  <si>
    <t xml:space="preserve">  רלוונטיות ובהירות התשובה   2</t>
  </si>
  <si>
    <t xml:space="preserve">  פירוט לגבי רלוונטיות ובהירות   2</t>
  </si>
  <si>
    <t xml:space="preserve">  עד כמה התשובה מאפשרת למפקח להסתמך עליה במינימום מאמץ?   2</t>
  </si>
  <si>
    <t xml:space="preserve">  פירוט לגבי יעילות ויכולת הסתמכות   2</t>
  </si>
  <si>
    <t xml:space="preserve">  הערות כלליות של הבודק   2</t>
  </si>
  <si>
    <t>האם התשובה נכונה?  3</t>
  </si>
  <si>
    <t xml:space="preserve">  עד כמה התשובה מדויקת?   3</t>
  </si>
  <si>
    <t xml:space="preserve">  פירוט לגבי הדיוק   3</t>
  </si>
  <si>
    <t xml:space="preserve">  עד כמה התשובה שלמה?   3</t>
  </si>
  <si>
    <t>פירוט לגבי שלמות התשובה 3</t>
  </si>
  <si>
    <t xml:space="preserve">  עד כמה המסמכים שהמודל הביא רלוונטיים לשאלה?   3</t>
  </si>
  <si>
    <t xml:space="preserve">  פירוט לגבי רלוונטיות המקורות   3</t>
  </si>
  <si>
    <t xml:space="preserve">  רלוונטיות ובהירות התשובה   3</t>
  </si>
  <si>
    <t xml:space="preserve">  פירוט לגבי רלוונטיות ובהירות   3</t>
  </si>
  <si>
    <t xml:space="preserve">  עד כמה התשובה מאפשרת למפקח להסתמך עליה במינימום מאמץ?   3</t>
  </si>
  <si>
    <t xml:space="preserve">  פירוט לגבי יעילות ויכולת הסתמכות   3</t>
  </si>
  <si>
    <t xml:space="preserve">  הערות כלליות של הבודק   3</t>
  </si>
  <si>
    <t>האם התשובה נכונה?  4</t>
  </si>
  <si>
    <t xml:space="preserve">  עד כמה התשובה מדויקת?   4</t>
  </si>
  <si>
    <t xml:space="preserve">  פירוט לגבי הדיוק   4</t>
  </si>
  <si>
    <t xml:space="preserve">  עד כמה התשובה שלמה?   4</t>
  </si>
  <si>
    <t>פירוט לגבי שלמות התשובה 4</t>
  </si>
  <si>
    <t xml:space="preserve">  עד כמה המסמכים שהמודל הביא רלוונטיים לשאלה?   4</t>
  </si>
  <si>
    <t xml:space="preserve">  פירוט לגבי רלוונטיות המקורות   4</t>
  </si>
  <si>
    <t xml:space="preserve">  רלוונטיות ובהירות התשובה   4</t>
  </si>
  <si>
    <t xml:space="preserve">  פירוט לגבי רלוונטיות ובהירות   4</t>
  </si>
  <si>
    <t xml:space="preserve">  עד כמה התשובה מאפשרת למפקח להסתמך עליה במינימום מאמץ?   4</t>
  </si>
  <si>
    <t xml:space="preserve">  פירוט לגבי יעילות ויכולת הסתמכות   4</t>
  </si>
  <si>
    <t xml:space="preserve">  הערות כלליות של הבודק   4</t>
  </si>
  <si>
    <t>האם התשובה נכונה?  5</t>
  </si>
  <si>
    <t xml:space="preserve">  עד כמה התשובה מדויקת?   5</t>
  </si>
  <si>
    <t xml:space="preserve">  פירוט לגבי הדיוק   5</t>
  </si>
  <si>
    <t xml:space="preserve">  עד כמה התשובה שלמה?   5</t>
  </si>
  <si>
    <t>פירוט לגבי שלמות התשובה 5</t>
  </si>
  <si>
    <t xml:space="preserve">  עד כמה המסמכים שהמודל הביא רלוונטיים לשאלה?   5</t>
  </si>
  <si>
    <t xml:space="preserve">  פירוט לגבי רלוונטיות המקורות   5</t>
  </si>
  <si>
    <t xml:space="preserve">  רלוונטיות ובהירות התשובה   5</t>
  </si>
  <si>
    <t xml:space="preserve">  פירוט לגבי רלוונטיות ובהירות   5</t>
  </si>
  <si>
    <t xml:space="preserve">  עד כמה התשובה מאפשרת למפקח להסתמך עליה במינימום מאמץ?   5</t>
  </si>
  <si>
    <t xml:space="preserve">  פירוט לגבי יעילות ויכולת הסתמכות   5</t>
  </si>
  <si>
    <t xml:space="preserve">  הערות כלליות של הבודק   5</t>
  </si>
  <si>
    <t>התשובה מתייחסת להעברת כספים מהחברה לתושב חוץ. ברגע שחברה זרה רוכשת מניות של חברה ישראלית הגורם המנפיק הוא המחלקה המקצועית ולא משרדי השומה. במקרה שלנו כנראה לא חלה חובת ניכוי מס במקור לפי 97ב.</t>
  </si>
  <si>
    <t>תשובה לא נכונה.</t>
  </si>
  <si>
    <t>הוראת הביצוע לא רלוונטית.</t>
  </si>
  <si>
    <t>לא נכונה.</t>
  </si>
  <si>
    <t>ההסברים לא קשורים לשאלה.</t>
  </si>
  <si>
    <t>אפשר להסתמך.</t>
  </si>
  <si>
    <t>עונה על השאלה במדויק</t>
  </si>
  <si>
    <t>כן</t>
  </si>
  <si>
    <t>החלק לגבי תחולת 8ב אינו נכון. 8ב חל על הכנסות מ 2(6)</t>
  </si>
  <si>
    <t>אין התייחסות להבדלים בין חברות ליחידים</t>
  </si>
  <si>
    <t>אפשר להוסיף התייחסות לאופן הטיפול הטכני</t>
  </si>
  <si>
    <t xml:space="preserve">ניתן היה להוסיף התייחסות לפרויקט בליווי פיננסי סגור </t>
  </si>
  <si>
    <t xml:space="preserve">היעדר סעיפי החוק המרכזיים. התשובה אינה מציינת את סעיף 17(1) ואת סעיף 18(ג) לפקודה. 
הסתמכות שגויה על חוק התיאומים שבוטל. 
היעדר מוחלט של הפסיקה המנחה. </t>
  </si>
  <si>
    <t xml:space="preserve">חסר התייחסות לסעיפי החוק מהפקודה. חסר פסיקה שמאוד חשובה בסוגיה זאת. מנגד חוק התיאומים לא רלוונטי כמעט בכלל. </t>
  </si>
  <si>
    <t>המודל ציין בתשובה את הוראת הביצוע אך לא ציין אותה במסמכים.</t>
  </si>
  <si>
    <t>לדעתי התשובה אינה מדויקת - במקרה של הימנעות, אני חושב שאין לקלוט את הדוח.</t>
  </si>
  <si>
    <t>יש לבצע הבחנה בין בניה שהסתיימה לבניה בהתהוות) בנוגע לפסקה 2) .
במגרש לוקחים 23% על הרווח, אך ביחידת מגורים יש להבחין האם הבניה הסתיימה בשנה השוטפת ואז ידווח 23% מהרווח לבין מצב בו ההכנסה ממכירת הדירה דווחה והמס שולם ואז אין ערובה לבין מצב בו הבנייה טרם הסתיימה ואז הערובה היא 3%.</t>
  </si>
  <si>
    <t xml:space="preserve">ההבחנה בין בנייה שהסתיימה לבין בניה בהתהוות </t>
  </si>
  <si>
    <t>רלוונטית מאוד</t>
  </si>
  <si>
    <t>נרשם לעיל</t>
  </si>
  <si>
    <t>הייתי מוסיפה פסיקה רלוונטית: פסק דין מיקוד, קבוצתיות השומרים, ועקרונות מנחים</t>
  </si>
  <si>
    <t>הוספתי הפסיקה שלעיל</t>
  </si>
  <si>
    <t xml:space="preserve">במנגנון הולדבק יש להתייחס אל חוזר 7/2015 עם פיצול התמורה למרכיב הוני ופירותי . </t>
  </si>
  <si>
    <t>צירוף החוזר 5.2017 אולי פסיקה כמו חיים להמן</t>
  </si>
  <si>
    <t xml:space="preserve">פיצול מרכיב התמורה בעסקת הולדבק </t>
  </si>
  <si>
    <t>צירוף פסקי דין רג'ואן   אברהם פלוס</t>
  </si>
  <si>
    <t>אולי יש להוסיף חידוד בין תיקון מהותי לטכניון, כמו כן לעניין ההתיישנות</t>
  </si>
  <si>
    <t>בתיקון טכני אין שינוי במועד ההגשה בעוד שבתיקון מהותי מועד התיקון הוא מועד הגשת הדוח</t>
  </si>
  <si>
    <t>יש לפרט כי הנתונים לא מספקים. האם הנישום עמד בכל הקריטריונים לקבלת המסלול המופחת? האם יש בידו רישיון ספק שירות? האם לא מדובר בהכנסה מעסק? האם מסר הודעה על כך לפקיד השומה?</t>
  </si>
  <si>
    <t>אריתמטית התשובה נכונה.  הייתי מוסיפה שאין לו זכאות למסלול הפטור , כיוון שמדובר בפטור מתקפל והוא נוגס בכולו</t>
  </si>
  <si>
    <t>טופס 7503 ודוח 0 מעודכן רשום בהוראת הביצוע משנת 21 בצורה ברורה המודל התפזר</t>
  </si>
  <si>
    <t>המודל התפזר לא רשום הטופס לא רשום דוח 0 מעודכן אלו הדברים החשובים</t>
  </si>
  <si>
    <t>המקור היחיד שרלוונטי זה הוראת הביצוע עמוד 10 סעיף 5.3.3.2</t>
  </si>
  <si>
    <t>המודל התפזר עודף מידע לא רלוונטי צריך להסביר את הרציו בהפחתה שנמכרו מספר דירות, צפוי הפסד עתידי ולכן עליו להמציא טופס... ודוח 0 מעודכן</t>
  </si>
  <si>
    <t>להפנות לחוזר האחרון שיצא</t>
  </si>
  <si>
    <t>מפוזר לא ניתן להסתמך דרך אגב תכנסו להוצאת רונן למיסים AI הוא נותן תשובה הרבה יותר טובה</t>
  </si>
  <si>
    <t>מקרה בתחום האפור, במקרה הזה יש לקבל הבהרות מרו"ח ולפנות למקצועית האם הנמקה 77</t>
  </si>
  <si>
    <t>ראה תשובה 1</t>
  </si>
  <si>
    <t>מקרה אפור המודל לא ענה בצורה מלאה יותר מדי החלטי</t>
  </si>
  <si>
    <t xml:space="preserve">התפלק לו, הוא לא בכיוון. לדעתי הוא הבין שיש צורך שבפקודה יהיה אופציה לייחוס הוצאות המימון ולכן הלך לסעיף 18. הוא פספס לחלוטין מדובר בנכס לא מניב ולכן היה אמור לכוון מלכתכילה לסעיף 17 כי לא מדובר בוהצאה בייצור הכנסה שיש להוונה לעלות הנכס. שיטת הייחוס לא מפורטת בפקודה אלא יציר של פסקי דין והוראות ביצוע. </t>
  </si>
  <si>
    <t>אולי היא שלמה אבל לא לשאלה הזו, האמת שאני לא בטוח שהיא שלמה לאף שאלה.</t>
  </si>
  <si>
    <t>עצרתי באמצע פשוט לא שם</t>
  </si>
  <si>
    <t>לא שם</t>
  </si>
  <si>
    <t>לא!</t>
  </si>
  <si>
    <t>גם פה ניסיתי את AI הוצאת רונן מנתח את המקרה בצורה הרבה יותר טובה תבדקו</t>
  </si>
  <si>
    <t xml:space="preserve">לדעתי השאלה לא נשאלה בצורה נכונה ולא מדויקת. פעילות יצורית  המבחן זה יצירת מוצר חדש - הופכת חומר גלם למוצר, משנה את אופיו ומהותו, חיבור רכיבים ויצירת מוצר חדש, מבחן השינוי , מבחן של תהליכי ייצור, השבחת המוצר. </t>
  </si>
  <si>
    <t>לדעתי חסרים פסקי דין רלוונטיים לקביעה האם יצורי או לאו בסעיף 4 לתשובה היא עונה האם מדובר במפעל תעשייתי מה שהוא לא נשאל הוא נשאל האם מדובר בפעילות ייצורית זה אכן אחד התנאים להכנס לחוק אך לא נשאל אל כך.</t>
  </si>
  <si>
    <t>יש חזורים נוספים  המדברים יש החלטות מיסוי בנושא.</t>
  </si>
  <si>
    <t>רלוונטית אך חלקית</t>
  </si>
  <si>
    <t>היא נותנת כיוון אך היא לא מלאה</t>
  </si>
  <si>
    <t xml:space="preserve">כן, אשמח להכוונה מדוייקת איפה למצוא את התשובה </t>
  </si>
  <si>
    <t>המלל מסורבל וקשה להבין מה מהתשובה נלקח מאיזה מקור</t>
  </si>
  <si>
    <t>לא הובא מסמך המקור, צורף רק המסמך עם העידכונים</t>
  </si>
  <si>
    <t>חסר מסמך המקור</t>
  </si>
  <si>
    <t>הייתי רוצה הפניה מדויקת לכך שהפטור הוא ליחיד או לנציגות המס המשותף</t>
  </si>
  <si>
    <t>אנשים</t>
  </si>
  <si>
    <t>שאלות</t>
  </si>
  <si>
    <t>נדרשת הכוונה מדויקת למקורות המידע כדי להבין מאיפה נלקחה התשובה.</t>
  </si>
  <si>
    <t>המודל לא הציג מסמך מקור, נתן רק עדכונים/תוספותה</t>
  </si>
  <si>
    <t>המודל ציין בתשובה את הוראת הביצוע, אך לא נתן אותה במסמכים.</t>
  </si>
  <si>
    <t>תשובה לא נכונה - המודל התבסס על חוקים ישנים שאינם בתוקף, והתעלם מסעיפי הפקודה המרכזיים ומפסקי הדין שנותנים בסיס לתשובה נכונה</t>
  </si>
  <si>
    <t>התשובה חלקית - אין התייחסות להבדלים בין חברות ליחידים</t>
  </si>
  <si>
    <t>תשובה לא נכונה - המודל התבלבל בין החברה ישראלית לבין חברה זרה ברכישת מניות</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</si>
</sst>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0">
    <font>
      <sz val="10.0"/>
      <color rgb="FF000000"/>
      <name val="Arial"/>
      <scheme val="minor"/>
    </font>
    <font>
      <b/>
      <sz val="11.0"/>
      <color rgb="FF006100"/>
      <name val="Arial"/>
    </font>
    <font>
      <sz val="10.0"/>
      <color/>
      <name val="Arial"/>
    </font>
    <font>
      <sz val="5.0"/>
      <color/>
      <name val="Arial"/>
    </font>
    <font>
      <sz val="10.0"/>
      <color rgb="FF1F1F1F"/>
      <name val="&quot;Google Sans Mono&quot;"/>
    </font>
    <font>
      <sz val="11.0"/>
      <color rgb="FF006100"/>
      <name val="Arial"/>
    </font>
    <font>
      <sz val="10.0"/>
      <color rgb="FF000000"/>
      <name val="Arial"/>
    </font>
    <font>
      <sz val="11.0"/>
      <color rgb="FF9C0006"/>
      <name val="Arial"/>
    </font>
    <font>
      <sz val="12.0"/>
      <color rgb="FF2C3E50"/>
      <name val="Quattrocento Sans"/>
    </font>
    <font>
      <b/>
      <sz val="12.0"/>
      <color rgb="FFFFFFFF"/>
      <name val="Arial"/>
    </font>
    <font>
      <sz val="11.0"/>
      <color/>
      <name val="Arial"/>
    </font>
    <font>
      <b/>
      <sz val="11.0"/>
      <name val="Arial"/>
    </font>
    <font>
      <sz val="10.0"/>
      <name val="Arial"/>
    </font>
    <font>
      <i/>
      <sz val="9.0"/>
      <color rgb="FF555555"/>
      <name val="Arial"/>
    </font>
    <font>
      <u/>
      <sz val="10.0"/>
      <color rgb="FF0000FF"/>
      <name val="Arial"/>
    </font>
    <font>
      <u/>
      <sz val="10.0"/>
      <color rgb="FF0000FF"/>
      <name val="Arial"/>
    </font>
    <font>
      <u/>
      <sz val="10.0"/>
      <color rgb="FF0000FF"/>
      <name val="Arial"/>
    </font>
    <font>
      <u/>
      <sz val="12.0"/>
      <color rgb="FF0000FF"/>
      <name val="Arial"/>
    </font>
    <font/>
    <font>
      <sz val="12.0"/>
      <color/>
      <name val="Arial"/>
    </font>
  </fonts>
  <fills count="21">
    <fill>
      <patternFill patternType="none"/>
    </fill>
    <fill>
      <patternFill patternType="lightGray"/>
    </fill>
    <fill>
      <patternFill patternType="solid">
        <fgColor rgb="FFC6EFCE"/>
        <bgColor rgb="FFC6EFCE"/>
      </patternFill>
    </fill>
    <fill>
      <patternFill patternType="solid">
        <fgColor rgb="FF00FFFF"/>
        <bgColor rgb="FF00FFFF"/>
      </patternFill>
    </fill>
    <fill>
      <patternFill patternType="solid">
        <fgColor rgb="FF92D050"/>
        <bgColor rgb="FF92D050"/>
      </patternFill>
    </fill>
    <fill>
      <patternFill patternType="solid">
        <fgColor rgb="FFF0F4F9"/>
        <bgColor rgb="FFF0F4F9"/>
      </patternFill>
    </fill>
    <fill>
      <patternFill patternType="solid">
        <fgColor rgb="FFFCE5CD"/>
        <bgColor rgb="FFFCE5CD"/>
      </patternFill>
    </fill>
    <fill>
      <patternFill patternType="solid">
        <fgColor rgb="FFF9CB9C"/>
        <bgColor rgb="FFF9CB9C"/>
      </patternFill>
    </fill>
    <fill>
      <patternFill patternType="solid">
        <fgColor rgb="FFE69138"/>
        <bgColor rgb="FFE69138"/>
      </patternFill>
    </fill>
    <fill>
      <patternFill patternType="solid">
        <fgColor rgb="FFFFF2CC"/>
        <bgColor rgb="FFFFF2CC"/>
      </patternFill>
    </fill>
    <fill>
      <patternFill patternType="solid">
        <fgColor rgb="FFFF0000"/>
        <bgColor rgb="FFFF0000"/>
      </patternFill>
    </fill>
    <fill>
      <patternFill patternType="solid">
        <fgColor rgb="FFFFC7CE"/>
        <bgColor rgb="FFFFC7CE"/>
      </patternFill>
    </fill>
    <fill>
      <patternFill patternType="solid">
        <fgColor rgb="FFF6B26B"/>
        <bgColor rgb="FFF6B26B"/>
      </patternFill>
    </fill>
    <fill>
      <patternFill patternType="solid">
        <fgColor rgb="FFFFE599"/>
        <bgColor rgb="FFFFE599"/>
      </patternFill>
    </fill>
    <fill>
      <patternFill patternType="solid">
        <fgColor rgb="FFFFFF00"/>
        <bgColor rgb="FFFFFF00"/>
      </patternFill>
    </fill>
    <fill>
      <patternFill patternType="solid">
        <fgColor rgb="FFFF9900"/>
        <bgColor rgb="FFFF9900"/>
      </patternFill>
    </fill>
    <fill>
      <patternFill patternType="solid">
        <fgColor rgb="FF00FF00"/>
        <bgColor rgb="FF00FF00"/>
      </patternFill>
    </fill>
    <fill>
      <patternFill patternType="solid">
        <fgColor rgb="FFB7E1CD"/>
        <bgColor rgb="FFB7E1CD"/>
      </patternFill>
    </fill>
    <fill>
      <patternFill patternType="solid">
        <fgColor rgb="FF2F5496"/>
        <bgColor rgb="FF2F5496"/>
      </patternFill>
    </fill>
    <fill>
      <patternFill patternType="solid">
        <fgColor rgb="FFDDEBF7"/>
        <bgColor rgb="FFDDEBF7"/>
      </patternFill>
    </fill>
    <fill>
      <patternFill patternType="solid">
        <fgColor rgb="FFEBF1DE"/>
        <bgColor rgb="FFEBF1DE"/>
      </patternFill>
    </fill>
  </fills>
  <borders count="14">
    <border/>
    <border>
      <left style="thin">
        <color rgb="FF000000"/>
      </left>
      <right style="thin">
        <color rgb="FF000000"/>
      </right>
      <top style="thin">
        <color rgb="FF000000"/>
      </top>
      <bottom style="thin">
        <color rgb="FF000000"/>
      </bottom>
    </border>
    <border>
      <left/>
      <right/>
      <top/>
      <bottom/>
    </border>
    <border>
      <left style="thin">
        <color rgb="FFB7B7B7"/>
      </left>
      <right style="thin">
        <color rgb="FFB7B7B7"/>
      </right>
      <top style="thin">
        <color rgb="FFB7B7B7"/>
      </top>
      <bottom style="thin">
        <color rgb="FFB7B7B7"/>
      </bottom>
    </border>
    <border>
      <left style="thin">
        <color rgb="FFABABAB"/>
      </left>
      <top style="thin">
        <color rgb="FFABABAB"/>
      </top>
    </border>
    <border>
      <left style="thin">
        <color rgb="FFFFFFFF"/>
      </left>
      <top style="thin">
        <color rgb="FFABABAB"/>
      </top>
    </border>
    <border>
      <left style="thin">
        <color rgb="FFFFFFFF"/>
      </left>
      <right style="thin">
        <color rgb="FFABABAB"/>
      </right>
      <top style="thin">
        <color rgb="FFABABAB"/>
      </top>
    </border>
    <border>
      <top style="thin">
        <color rgb="FFABABAB"/>
      </top>
    </border>
    <border>
      <right style="thin">
        <color rgb="FFABABAB"/>
      </right>
      <top style="thin">
        <color rgb="FFABABAB"/>
      </top>
    </border>
    <border>
      <left style="thin">
        <color rgb="FFABABAB"/>
      </left>
    </border>
    <border>
      <right style="thin">
        <color rgb="FFABABAB"/>
      </right>
    </border>
    <border>
      <left style="thin">
        <color rgb="FFABABAB"/>
      </left>
      <top style="thin">
        <color rgb="FFABABAB"/>
      </top>
      <bottom style="thin">
        <color rgb="FFABABAB"/>
      </bottom>
    </border>
    <border>
      <top style="thin">
        <color rgb="FFABABAB"/>
      </top>
      <bottom style="thin">
        <color rgb="FFABABAB"/>
      </bottom>
    </border>
    <border>
      <right style="thin">
        <color rgb="FFABABAB"/>
      </right>
      <top style="thin">
        <color rgb="FFABABAB"/>
      </top>
      <bottom style="thin">
        <color rgb="FFABABAB"/>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center" wrapText="1"/>
    </xf>
    <xf borderId="0" fillId="0" fontId="2" numFmtId="0" xfId="0" applyAlignment="1" applyFont="1">
      <alignment horizontal="center" readingOrder="0" shrinkToFit="0" wrapText="1"/>
    </xf>
    <xf borderId="0" fillId="0" fontId="2" numFmtId="0" xfId="0" applyAlignment="1" applyFont="1">
      <alignment horizontal="center" readingOrder="0" shrinkToFit="0" vertical="top" wrapText="1"/>
    </xf>
    <xf borderId="0" fillId="0" fontId="2" numFmtId="0" xfId="0" applyAlignment="1" applyFont="1">
      <alignment horizontal="center" readingOrder="0" shrinkToFit="0" vertical="center" wrapText="1"/>
    </xf>
    <xf borderId="2" fillId="3" fontId="3" numFmtId="0" xfId="0" applyAlignment="1" applyBorder="1" applyFill="1" applyFont="1">
      <alignment horizontal="center" readingOrder="0" shrinkToFit="0" wrapText="1"/>
    </xf>
    <xf borderId="0" fillId="0" fontId="3" numFmtId="0" xfId="0" applyAlignment="1" applyFont="1">
      <alignment horizontal="center" readingOrder="0" shrinkToFit="0" wrapText="1"/>
    </xf>
    <xf borderId="1" fillId="0" fontId="2" numFmtId="0" xfId="0" applyBorder="1" applyFont="1"/>
    <xf borderId="1" fillId="0" fontId="2" numFmtId="0" xfId="0" applyAlignment="1" applyBorder="1" applyFont="1">
      <alignment readingOrder="0"/>
    </xf>
    <xf borderId="1" fillId="0" fontId="2" numFmtId="0" xfId="0" applyAlignment="1" applyBorder="1" applyFont="1">
      <alignment horizontal="right" readingOrder="0" shrinkToFit="0" wrapText="1"/>
    </xf>
    <xf borderId="1" fillId="4" fontId="2" numFmtId="0" xfId="0" applyAlignment="1" applyBorder="1" applyFill="1" applyFont="1">
      <alignment horizontal="right" readingOrder="0" shrinkToFit="0" wrapText="1"/>
    </xf>
    <xf borderId="1" fillId="0" fontId="2" numFmtId="0" xfId="0" applyAlignment="1" applyBorder="1" applyFont="1">
      <alignment readingOrder="0" shrinkToFit="0" wrapText="1"/>
    </xf>
    <xf borderId="2" fillId="5" fontId="4" numFmtId="164" xfId="0" applyBorder="1" applyFill="1" applyFont="1" applyNumberFormat="1"/>
    <xf borderId="2" fillId="2" fontId="5" numFmtId="0" xfId="0" applyAlignment="1" applyBorder="1" applyFill="1" applyFont="1">
      <alignment readingOrder="0" shrinkToFit="0" vertical="top" wrapText="1"/>
    </xf>
    <xf borderId="2" fillId="2" fontId="5" numFmtId="0" xfId="0" applyAlignment="1" applyBorder="1" applyFill="1" applyFont="1">
      <alignment shrinkToFit="0" vertical="top" wrapText="1"/>
    </xf>
    <xf borderId="0" fillId="0" fontId="2" numFmtId="0" xfId="0" applyAlignment="1" applyFont="1">
      <alignment horizontal="right" readingOrder="0" shrinkToFit="0" wrapText="1"/>
    </xf>
    <xf borderId="0" fillId="0" fontId="2" numFmtId="0" xfId="0" applyAlignment="1" applyFont="1">
      <alignment readingOrder="0"/>
    </xf>
    <xf borderId="2" fillId="5" fontId="4" numFmtId="0" xfId="0" applyBorder="1" applyFill="1" applyFont="1"/>
    <xf borderId="2" fillId="5" fontId="4" numFmtId="0" xfId="0" applyAlignment="1" applyBorder="1" applyFill="1" applyFont="1">
      <alignment horizontal="right" shrinkToFit="0" wrapText="1"/>
    </xf>
    <xf borderId="2" fillId="6" fontId="4" numFmtId="0" xfId="0" applyAlignment="1" applyBorder="1" applyFill="1" applyFont="1">
      <alignment horizontal="right" shrinkToFit="0" wrapText="1"/>
    </xf>
    <xf borderId="2" fillId="5" fontId="4" numFmtId="0" xfId="0" applyAlignment="1" applyBorder="1" applyFill="1" applyFont="1">
      <alignment shrinkToFit="0" wrapText="1"/>
    </xf>
    <xf borderId="0" fillId="0" fontId="3" numFmtId="0" xfId="0" applyFont="1"/>
    <xf borderId="1" fillId="0" fontId="2" numFmtId="0" xfId="0" applyAlignment="1" applyBorder="1" applyFont="1">
      <alignment readingOrder="0" shrinkToFit="0" vertical="center" wrapText="1"/>
    </xf>
    <xf borderId="0" fillId="0" fontId="2" numFmtId="0" xfId="0" applyAlignment="1" applyFont="1">
      <alignment horizontal="right" readingOrder="0" shrinkToFit="0" vertical="top" wrapText="1"/>
    </xf>
    <xf borderId="0" fillId="0" fontId="2" numFmtId="0" xfId="0" applyAlignment="1" applyFont="1">
      <alignment readingOrder="0" vertical="center"/>
    </xf>
    <xf borderId="2" fillId="7" fontId="4" numFmtId="0" xfId="0" applyAlignment="1" applyBorder="1" applyFill="1" applyFont="1">
      <alignment horizontal="right" shrinkToFit="0" wrapText="1"/>
    </xf>
    <xf borderId="2" fillId="8" fontId="4" numFmtId="0" xfId="0" applyAlignment="1" applyBorder="1" applyFill="1" applyFont="1">
      <alignment horizontal="right" shrinkToFit="0" wrapText="1"/>
    </xf>
    <xf borderId="2" fillId="9" fontId="4" numFmtId="0" xfId="0" applyAlignment="1" applyBorder="1" applyFill="1" applyFont="1">
      <alignment horizontal="right" shrinkToFit="0" wrapText="1"/>
    </xf>
    <xf borderId="1" fillId="4" fontId="5" numFmtId="0" xfId="0" applyAlignment="1" applyBorder="1" applyFill="1" applyFont="1">
      <alignment horizontal="right" readingOrder="0" shrinkToFit="0" wrapText="1"/>
    </xf>
    <xf borderId="1" fillId="2" fontId="5" numFmtId="0" xfId="0" applyAlignment="1" applyBorder="1" applyFill="1" applyFont="1">
      <alignment readingOrder="0" shrinkToFit="0" wrapText="1"/>
    </xf>
    <xf borderId="2" fillId="10" fontId="6" numFmtId="0" xfId="0" applyAlignment="1" applyBorder="1" applyFill="1" applyFont="1">
      <alignment horizontal="right" readingOrder="0" shrinkToFit="0" vertical="top" wrapText="1"/>
    </xf>
    <xf borderId="2" fillId="11" fontId="7" numFmtId="0" xfId="0" applyAlignment="1" applyBorder="1" applyFill="1" applyFont="1">
      <alignment horizontal="right" readingOrder="0" shrinkToFit="0" wrapText="1"/>
    </xf>
    <xf borderId="2" fillId="12" fontId="6" numFmtId="0" xfId="0" applyAlignment="1" applyBorder="1" applyFill="1" applyFont="1">
      <alignment horizontal="right" readingOrder="0" shrinkToFit="0" vertical="top" wrapText="1"/>
    </xf>
    <xf borderId="2" fillId="10" fontId="2" numFmtId="0" xfId="0" applyAlignment="1" applyBorder="1" applyFill="1" applyFont="1">
      <alignment readingOrder="0" shrinkToFit="0" vertical="top" wrapText="1"/>
    </xf>
    <xf borderId="1" fillId="4" fontId="2" numFmtId="0" xfId="0" applyAlignment="1" applyBorder="1" applyFill="1" applyFont="1">
      <alignment readingOrder="0" shrinkToFit="0" wrapText="1"/>
    </xf>
    <xf borderId="2" fillId="13" fontId="2" numFmtId="0" xfId="0" applyAlignment="1" applyBorder="1" applyFill="1" applyFont="1">
      <alignment readingOrder="0" shrinkToFit="0" vertical="top" wrapText="1"/>
    </xf>
    <xf borderId="1" fillId="14" fontId="2" numFmtId="0" xfId="0" applyAlignment="1" applyBorder="1" applyFill="1" applyFont="1">
      <alignment horizontal="right" readingOrder="0" shrinkToFit="0" wrapText="1"/>
    </xf>
    <xf borderId="1" fillId="14" fontId="2" numFmtId="0" xfId="0" applyAlignment="1" applyBorder="1" applyFill="1" applyFont="1">
      <alignment readingOrder="0" shrinkToFit="0" wrapText="1"/>
    </xf>
    <xf borderId="1" fillId="0" fontId="2" numFmtId="0" xfId="0" applyAlignment="1" applyBorder="1" applyFont="1">
      <alignment horizontal="right" readingOrder="0" shrinkToFit="0" vertical="top" wrapText="1"/>
    </xf>
    <xf borderId="2" fillId="2" fontId="5" numFmtId="0" xfId="0" applyAlignment="1" applyBorder="1" applyFill="1" applyFont="1">
      <alignment horizontal="right" readingOrder="2" shrinkToFit="0" vertical="top" wrapText="1"/>
    </xf>
    <xf borderId="2" fillId="15" fontId="4" numFmtId="0" xfId="0" applyAlignment="1" applyBorder="1" applyFill="1" applyFont="1">
      <alignment horizontal="right" shrinkToFit="0" wrapText="1"/>
    </xf>
    <xf borderId="1" fillId="4" fontId="5" numFmtId="0" xfId="0" applyAlignment="1" applyBorder="1" applyFill="1" applyFont="1">
      <alignment readingOrder="0" shrinkToFit="0" wrapText="1"/>
    </xf>
    <xf borderId="2" fillId="4" fontId="4" numFmtId="0" xfId="0" applyAlignment="1" applyBorder="1" applyFill="1" applyFont="1">
      <alignment readingOrder="0" shrinkToFit="0" vertical="top" wrapText="1"/>
    </xf>
    <xf borderId="2" fillId="13" fontId="4" numFmtId="0" xfId="0" applyAlignment="1" applyBorder="1" applyFill="1" applyFont="1">
      <alignment readingOrder="0" shrinkToFit="0" vertical="top" wrapText="1"/>
    </xf>
    <xf borderId="1" fillId="14" fontId="5" numFmtId="0" xfId="0" applyAlignment="1" applyBorder="1" applyFill="1" applyFont="1">
      <alignment horizontal="right" readingOrder="0" shrinkToFit="0" wrapText="1"/>
    </xf>
    <xf borderId="1" fillId="14" fontId="5" numFmtId="0" xfId="0" applyAlignment="1" applyBorder="1" applyFill="1" applyFont="1">
      <alignment readingOrder="0" shrinkToFit="0" wrapText="1"/>
    </xf>
    <xf borderId="1" fillId="4" fontId="2" numFmtId="0" xfId="0" applyAlignment="1" applyBorder="1" applyFill="1" applyFont="1">
      <alignment shrinkToFit="0" wrapText="1"/>
    </xf>
    <xf borderId="1" fillId="14" fontId="2" numFmtId="0" xfId="0" applyAlignment="1" applyBorder="1" applyFill="1" applyFont="1">
      <alignment shrinkToFit="0" wrapText="1"/>
    </xf>
    <xf borderId="2" fillId="4" fontId="5" numFmtId="0" xfId="0" applyAlignment="1" applyBorder="1" applyFill="1" applyFont="1">
      <alignment horizontal="right" readingOrder="2" shrinkToFit="0" vertical="top" wrapText="1"/>
    </xf>
    <xf borderId="2" fillId="14" fontId="5" numFmtId="0" xfId="0" applyAlignment="1" applyBorder="1" applyFill="1" applyFont="1">
      <alignment horizontal="right" readingOrder="2" shrinkToFit="0" vertical="top" wrapText="1"/>
    </xf>
    <xf borderId="2" fillId="10" fontId="4" numFmtId="0" xfId="0" applyAlignment="1" applyBorder="1" applyFill="1" applyFont="1">
      <alignment readingOrder="0" shrinkToFit="0" vertical="top" wrapText="1"/>
    </xf>
    <xf borderId="2" fillId="10" fontId="4" numFmtId="0" xfId="0" applyAlignment="1" applyBorder="1" applyFill="1" applyFont="1">
      <alignment horizontal="right" shrinkToFit="0" wrapText="1"/>
    </xf>
    <xf borderId="0" fillId="0" fontId="2" numFmtId="0" xfId="0" applyFont="1"/>
    <xf borderId="2" fillId="4" fontId="2" numFmtId="0" xfId="0" applyAlignment="1" applyBorder="1" applyFill="1" applyFont="1">
      <alignment horizontal="right" readingOrder="0" shrinkToFit="0" wrapText="1"/>
    </xf>
    <xf borderId="2" fillId="4" fontId="2" numFmtId="0" xfId="0" applyAlignment="1" applyBorder="1" applyFill="1" applyFont="1">
      <alignment readingOrder="0"/>
    </xf>
    <xf borderId="0" fillId="0" fontId="2" numFmtId="0" xfId="0" applyAlignment="1" applyFont="1">
      <alignment shrinkToFit="0" wrapText="1"/>
    </xf>
    <xf borderId="2" fillId="14" fontId="2" numFmtId="0" xfId="0" applyAlignment="1" applyBorder="1" applyFill="1" applyFont="1">
      <alignment horizontal="right" readingOrder="0" shrinkToFit="0" wrapText="1"/>
    </xf>
    <xf borderId="2" fillId="4" fontId="2" numFmtId="0" xfId="0" applyAlignment="1" applyBorder="1" applyFill="1" applyFont="1">
      <alignment readingOrder="0" shrinkToFit="0" wrapText="1"/>
    </xf>
    <xf borderId="0" fillId="0" fontId="8" numFmtId="0" xfId="0" applyAlignment="1" applyFont="1">
      <alignment readingOrder="0"/>
    </xf>
    <xf borderId="2" fillId="4" fontId="2" numFmtId="0" xfId="0" applyAlignment="1" applyBorder="1" applyFill="1" applyFont="1">
      <alignment horizontal="right" readingOrder="0" shrinkToFit="0" vertical="top" wrapText="1"/>
    </xf>
    <xf borderId="2" fillId="4" fontId="6" numFmtId="0" xfId="0" applyAlignment="1" applyBorder="1" applyFill="1" applyFont="1">
      <alignment readingOrder="0" shrinkToFit="0" vertical="center" wrapText="1"/>
    </xf>
    <xf borderId="2" fillId="4" fontId="6" numFmtId="0" xfId="0" applyAlignment="1" applyBorder="1" applyFill="1" applyFont="1">
      <alignment readingOrder="0" shrinkToFit="0" wrapText="1"/>
    </xf>
    <xf borderId="0" fillId="0" fontId="2" numFmtId="0" xfId="0" applyAlignment="1" applyFont="1">
      <alignment shrinkToFit="0" vertical="top" wrapText="1"/>
    </xf>
    <xf borderId="2" fillId="14" fontId="6" numFmtId="0" xfId="0" applyAlignment="1" applyBorder="1" applyFill="1" applyFont="1">
      <alignment readingOrder="0" shrinkToFit="0" vertical="center" wrapText="1"/>
    </xf>
    <xf borderId="0" fillId="0" fontId="2" numFmtId="0" xfId="0" applyAlignment="1" applyFont="1">
      <alignment horizontal="right" shrinkToFit="0" wrapText="1"/>
    </xf>
    <xf borderId="0" fillId="0" fontId="6" numFmtId="0" xfId="0" applyAlignment="1" applyFont="1">
      <alignment vertical="center"/>
    </xf>
    <xf borderId="0" fillId="0" fontId="2" numFmtId="0" xfId="0" applyAlignment="1" applyFont="1">
      <alignment readingOrder="0" shrinkToFit="0" wrapText="1"/>
    </xf>
    <xf borderId="2" fillId="3" fontId="3" numFmtId="0" xfId="0" applyAlignment="1" applyBorder="1" applyFill="1" applyFont="1">
      <alignment readingOrder="0" shrinkToFit="0" wrapText="1"/>
    </xf>
    <xf borderId="0" fillId="0" fontId="3" numFmtId="0" xfId="0" applyAlignment="1" applyFont="1">
      <alignment readingOrder="0" shrinkToFit="0" wrapText="1"/>
    </xf>
    <xf borderId="2" fillId="5" fontId="4" numFmtId="0" xfId="0" applyAlignment="1" applyBorder="1" applyFill="1" applyFont="1">
      <alignment readingOrder="0" shrinkToFit="0" wrapText="1"/>
    </xf>
    <xf borderId="2" fillId="16" fontId="2" numFmtId="0" xfId="0" applyAlignment="1" applyBorder="1" applyFill="1" applyFont="1">
      <alignment horizontal="right" readingOrder="0" shrinkToFit="0" wrapText="1"/>
    </xf>
    <xf borderId="2" fillId="16" fontId="4" numFmtId="0" xfId="0" applyAlignment="1" applyBorder="1" applyFill="1" applyFont="1">
      <alignment readingOrder="0" shrinkToFit="0" wrapText="1"/>
    </xf>
    <xf borderId="2" fillId="10" fontId="6" numFmtId="0" xfId="0" applyAlignment="1" applyBorder="1" applyFill="1" applyFont="1">
      <alignment horizontal="right" readingOrder="0" shrinkToFit="0" wrapText="1"/>
    </xf>
    <xf borderId="2" fillId="10" fontId="2" numFmtId="0" xfId="0" applyBorder="1" applyFill="1" applyFont="1"/>
    <xf borderId="2" fillId="12" fontId="6" numFmtId="0" xfId="0" applyAlignment="1" applyBorder="1" applyFill="1" applyFont="1">
      <alignment horizontal="right" readingOrder="0" shrinkToFit="0" wrapText="1"/>
    </xf>
    <xf borderId="2" fillId="10" fontId="2" numFmtId="0" xfId="0" applyAlignment="1" applyBorder="1" applyFill="1" applyFont="1">
      <alignment readingOrder="0" shrinkToFit="0" wrapText="1"/>
    </xf>
    <xf borderId="2" fillId="13" fontId="2" numFmtId="0" xfId="0" applyAlignment="1" applyBorder="1" applyFill="1" applyFont="1">
      <alignment readingOrder="0" shrinkToFit="0" wrapText="1"/>
    </xf>
    <xf borderId="2" fillId="17" fontId="2" numFmtId="0" xfId="0" applyBorder="1" applyFill="1" applyFont="1"/>
    <xf borderId="2" fillId="13" fontId="4" numFmtId="0" xfId="0" applyAlignment="1" applyBorder="1" applyFill="1" applyFont="1">
      <alignment readingOrder="0" shrinkToFit="0" wrapText="1"/>
    </xf>
    <xf borderId="2" fillId="10" fontId="4" numFmtId="0" xfId="0" applyAlignment="1" applyBorder="1" applyFill="1" applyFont="1">
      <alignment readingOrder="0" shrinkToFit="0" wrapText="1"/>
    </xf>
    <xf borderId="3" fillId="18" fontId="9" numFmtId="0" xfId="0" applyAlignment="1" applyBorder="1" applyFill="1" applyFont="1">
      <alignment horizontal="center" shrinkToFit="0" vertical="center" wrapText="1"/>
    </xf>
    <xf borderId="3" fillId="18" fontId="9" numFmtId="0" xfId="0" applyAlignment="1" applyBorder="1" applyFill="1" applyFont="1">
      <alignment horizontal="center" readingOrder="0" shrinkToFit="0" vertical="center" wrapText="1"/>
    </xf>
    <xf borderId="0" fillId="0" fontId="10" numFmtId="0" xfId="0" applyFont="1"/>
    <xf borderId="3" fillId="0" fontId="11" numFmtId="0" xfId="0" applyAlignment="1" applyBorder="1" applyFont="1">
      <alignment horizontal="center" vertical="top"/>
    </xf>
    <xf borderId="3" fillId="2" fontId="5" numFmtId="0" xfId="0" applyAlignment="1" applyBorder="1" applyFill="1" applyFont="1">
      <alignment horizontal="right" readingOrder="0" shrinkToFit="0" vertical="top" wrapText="1"/>
    </xf>
    <xf borderId="3" fillId="0" fontId="12" numFmtId="0" xfId="0" applyAlignment="1" applyBorder="1" applyFont="1">
      <alignment horizontal="right" readingOrder="0" shrinkToFit="0" vertical="top" wrapText="1"/>
    </xf>
    <xf borderId="3" fillId="0" fontId="13" numFmtId="0" xfId="0" applyAlignment="1" applyBorder="1" applyFont="1">
      <alignment horizontal="right" readingOrder="0" shrinkToFit="0" vertical="top" wrapText="1"/>
    </xf>
    <xf borderId="3" fillId="19" fontId="11" numFmtId="0" xfId="0" applyAlignment="1" applyBorder="1" applyFill="1" applyFont="1">
      <alignment horizontal="right" readingOrder="0" shrinkToFit="0" vertical="top" wrapText="1"/>
    </xf>
    <xf borderId="4" fillId="0" fontId="6" numFmtId="0" xfId="0" applyBorder="1" applyFont="1"/>
    <xf borderId="4" fillId="0" fontId="6" numFmtId="0" xfId="0" applyAlignment="1" applyBorder="1" applyFont="1">
      <alignment readingOrder="0"/>
    </xf>
    <xf borderId="5" fillId="0" fontId="6" numFmtId="0" xfId="0" applyBorder="1" applyFont="1"/>
    <xf borderId="6" fillId="0" fontId="6" numFmtId="0" xfId="0" applyBorder="1" applyFont="1"/>
    <xf borderId="7" fillId="0" fontId="6" numFmtId="0" xfId="0" applyAlignment="1" applyBorder="1" applyFont="1">
      <alignment readingOrder="0"/>
    </xf>
    <xf borderId="8" fillId="0" fontId="6" numFmtId="0" xfId="0" applyBorder="1" applyFont="1"/>
    <xf borderId="7" fillId="0" fontId="6" numFmtId="0" xfId="0" applyBorder="1" applyFont="1"/>
    <xf borderId="9" fillId="0" fontId="6" numFmtId="0" xfId="0" applyAlignment="1" applyBorder="1" applyFont="1">
      <alignment readingOrder="0"/>
    </xf>
    <xf borderId="9" fillId="0" fontId="6" numFmtId="0" xfId="0" applyBorder="1" applyFont="1"/>
    <xf borderId="0" fillId="0" fontId="6" numFmtId="0" xfId="0" applyFont="1"/>
    <xf borderId="10" fillId="0" fontId="6" numFmtId="0" xfId="0" applyBorder="1" applyFont="1"/>
    <xf borderId="11" fillId="0" fontId="6" numFmtId="0" xfId="0" applyBorder="1" applyFont="1"/>
    <xf borderId="12" fillId="0" fontId="6" numFmtId="0" xfId="0" applyBorder="1" applyFont="1"/>
    <xf borderId="13" fillId="0" fontId="6" numFmtId="0" xfId="0" applyBorder="1" applyFont="1"/>
    <xf borderId="1" fillId="0" fontId="2" numFmtId="0" xfId="0" applyAlignment="1" applyBorder="1" applyFont="1">
      <alignment horizontal="right" readingOrder="0"/>
    </xf>
    <xf borderId="1" fillId="0" fontId="14" numFmtId="0" xfId="0" applyBorder="1" applyFont="1"/>
    <xf borderId="1" fillId="20" fontId="15" numFmtId="0" xfId="0" applyAlignment="1" applyBorder="1" applyFill="1" applyFont="1">
      <alignment horizontal="left"/>
    </xf>
    <xf borderId="1" fillId="0" fontId="16" numFmtId="0" xfId="0" applyAlignment="1" applyBorder="1" applyFont="1">
      <alignment horizontal="left"/>
    </xf>
    <xf borderId="1" fillId="0" fontId="17" numFmtId="0" xfId="0" applyAlignment="1" applyBorder="1" applyFont="1">
      <alignment horizontal="left"/>
    </xf>
    <xf borderId="0" fillId="0" fontId="2" numFmtId="0" xfId="0" applyAlignment="1" applyFont="1">
      <alignment horizontal="left" readingOrder="0" vertical="center"/>
    </xf>
    <xf borderId="0" fillId="0" fontId="2" numFmtId="164" xfId="0" applyAlignment="1" applyFont="1" applyNumberFormat="1">
      <alignment vertical="center"/>
    </xf>
    <xf borderId="0" fillId="0" fontId="2" numFmtId="0" xfId="0" applyAlignment="1" applyFont="1">
      <alignment readingOrder="0" vertical="center"/>
    </xf>
    <xf borderId="0" fillId="0" fontId="2" numFmtId="0" xfId="0" applyAlignment="1" applyFont="1">
      <alignment vertical="center"/>
    </xf>
    <xf borderId="0" fillId="0" fontId="18" numFmtId="0" xfId="0" applyFont="1"/>
    <xf borderId="0" fillId="0" fontId="19" numFmtId="0" xfId="0" applyAlignment="1" applyFont="1">
      <alignment horizontal="right" readingOrder="0"/>
    </xf>
    <xf borderId="0" fillId="0" fontId="10" numFmtId="0" xfId="0" applyAlignment="1" applyFont="1">
      <alignment horizontal="right" readingOrder="0"/>
    </xf>
    <xf borderId="2" fillId="5" fontId="4" numFmtId="0" xfId="0" applyAlignment="1" applyBorder="1" applyFill="1" applyFont="1">
      <alignment horizontal="right" readingOrder="0" shrinkToFit="0" wrapText="1"/>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0">
    <tableStyle count="3" pivot="0" name="תגובות לטופס 10 עופר-style">
      <tableStyleElement dxfId="2" type="headerRow"/>
      <tableStyleElement dxfId="3" type="firstRowStripe"/>
      <tableStyleElement dxfId="4" type="secondRowStripe"/>
    </tableStyle>
    <tableStyle count="3" pivot="0" name="תגובות לטופס 9 רוני-style">
      <tableStyleElement dxfId="2" type="headerRow"/>
      <tableStyleElement dxfId="3" type="firstRowStripe"/>
      <tableStyleElement dxfId="4" type="secondRowStripe"/>
    </tableStyle>
    <tableStyle count="3" pivot="0" name="תגובות לטופס 8 מיכאל-style">
      <tableStyleElement dxfId="2" type="headerRow"/>
      <tableStyleElement dxfId="3" type="firstRowStripe"/>
      <tableStyleElement dxfId="4" type="secondRowStripe"/>
    </tableStyle>
    <tableStyle count="3" pivot="0" name="תגובות לטופס 7 קורל-style">
      <tableStyleElement dxfId="2" type="headerRow"/>
      <tableStyleElement dxfId="3" type="firstRowStripe"/>
      <tableStyleElement dxfId="4" type="secondRowStripe"/>
    </tableStyle>
    <tableStyle count="3" pivot="0" name="תגובות לטופס 6 תום-style">
      <tableStyleElement dxfId="2" type="headerRow"/>
      <tableStyleElement dxfId="3" type="firstRowStripe"/>
      <tableStyleElement dxfId="4" type="secondRowStripe"/>
    </tableStyle>
    <tableStyle count="3" pivot="0" name="תגובות לטופס 5 ינון תתר-style">
      <tableStyleElement dxfId="2" type="headerRow"/>
      <tableStyleElement dxfId="3" type="firstRowStripe"/>
      <tableStyleElement dxfId="4" type="secondRowStripe"/>
    </tableStyle>
    <tableStyle count="3" pivot="0" name="תגובות לטופס 4- צליל עמנואל סבר-style">
      <tableStyleElement dxfId="2" type="headerRow"/>
      <tableStyleElement dxfId="3" type="firstRowStripe"/>
      <tableStyleElement dxfId="4" type="secondRowStripe"/>
    </tableStyle>
    <tableStyle count="3" pivot="0" name="תגובות לטופס 3- ניר-style">
      <tableStyleElement dxfId="2" type="headerRow"/>
      <tableStyleElement dxfId="3" type="firstRowStripe"/>
      <tableStyleElement dxfId="4" type="secondRowStripe"/>
    </tableStyle>
    <tableStyle count="3" pivot="0" name="תגובות לטופס 2- לירן יהודאי-style">
      <tableStyleElement dxfId="2" type="headerRow"/>
      <tableStyleElement dxfId="3" type="firstRowStripe"/>
      <tableStyleElement dxfId="4" type="secondRowStripe"/>
    </tableStyle>
    <tableStyle count="3" pivot="0" name="תגובות לטופס 1- בן לסנס-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pivotCacheDefinition" Target="pivotCache/pivotCacheDefinition1.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O51" sheet="שאלות_תשובות_כל_התגובות"/>
  </cacheSource>
  <cacheFields>
    <cacheField name="ID" numFmtId="0">
      <sharedItems>
        <s v="M01-Q01"/>
        <s v="M01-Q02"/>
        <s v="M01-Q03"/>
        <s v="M01-Q04"/>
        <s v="M01-Q05"/>
        <s v="M02-Q01"/>
        <s v="M02-Q02"/>
        <s v="M02-Q03"/>
        <s v="M02-Q04"/>
        <s v="M02-Q05"/>
        <s v="M03-Q01"/>
        <s v="M03-Q02"/>
        <s v="M03-Q03"/>
        <s v="M03-Q04"/>
        <s v="M03-Q05"/>
        <s v="M04-Q01"/>
        <s v="M04-Q02"/>
        <s v="M04-Q03"/>
        <s v="M04-Q04"/>
        <s v="M04-Q05"/>
        <s v="M05-Q01"/>
        <s v="M05-Q02"/>
        <s v="M05-Q03"/>
        <s v="M05-Q04"/>
        <s v="M05-Q05"/>
        <s v="M06-Q01"/>
        <s v="M06-Q02"/>
        <s v="M06-Q03"/>
        <s v="M06-Q04"/>
        <s v="M06-Q05"/>
        <s v="M07-Q01"/>
        <s v="M07-Q02"/>
        <s v="M07-Q03"/>
        <s v="M07-Q04"/>
        <s v="M07-Q05"/>
        <s v="M08-Q01"/>
        <s v="M08-Q02"/>
        <s v="M08-Q03"/>
        <s v="M08-Q04"/>
        <s v="M08-Q05"/>
        <s v="M09-Q01"/>
        <s v="M09-Q02"/>
        <s v="M09-Q03"/>
        <s v="M09-Q04"/>
        <s v="M09-Q05"/>
        <s v="M10-Q01"/>
        <s v="M10-Q02"/>
        <s v="M10-Q03"/>
        <s v="M10-Q04"/>
        <s v="M10-Q05"/>
      </sharedItems>
    </cacheField>
    <cacheField name="מפקח" numFmtId="0">
      <sharedItems>
        <s v="בן לסנס"/>
        <s v="לירן יהודאי"/>
        <s v="ניר"/>
        <s v="צליל עמנואל סברו"/>
        <s v="ינון תתר"/>
        <s v="תום גרנר חלף"/>
        <s v="קורל"/>
        <s v="מיכאל"/>
        <s v="רוני"/>
        <s v="עופר בכר"/>
      </sharedItems>
    </cacheField>
    <cacheField name="שאלה" numFmtId="0">
      <sharedItems>
        <s v="חברה שנידונה אצלי בחוליה נרכשה על ידי חברה זרה. החברה הרוכשת משלמת את כספי התמורה לבעלי מניות תושבי חוץ. מי הגורם המנפיק את האישור עבור העברה לחול? הכסף עובר דרך נאמן ישראלי ולכן נדרש אישור"/>
        <s v="איך להנפיק אישור לפי סעיף 50 לשותפות?"/>
        <s v="התקבלה בקשה לתיקון דוח, הנובעת משינוי מסלול המס שבו דווחו הכנסות משכירות דירות. האם מדובר בתיקון מהותי או טכני, ומה הדין לעניין התיישנות? הסבר ונמק תוך ציטוט הוראת/הוראות הביצוע הרלוונטיות."/>
        <s v="אני מטפל בתיק של נישום המחזיק בזכויות בשותפות נפט. הנישום מבקש כעת לתקן שומה לשנה שכבר התיישנה, בנימוק שתעודת המס של השותפות פורסמה והתקבלה אצלו רק עכשיו. האם עיכוב אובייקטיבי בפרסום תעודת המס מצד השותפות מהווה עילה מספקת לפתיחת השומה הסגורה? אילו סימוכין"/>
        <s v="עד איזה סכום פטור מניכוי מס במקור תשלום עבור שירותים שניתנו ובוצעו במלואם בחו&quot;ל, לפי הכללים העדכניים?"/>
        <s v="נאמנות שהוקמה לפני 2014, היוצר תושב חוץ בעת הקמת הנאמנות, הנהנים (או חלק מהם) תושבי ישראל, לפני שנת 2014 היוצר עלה לישראל וזכרי להטבות של תושב חוזר ותיק. האם הנאמנות זכאית להטבות של היוצר?"/>
        <s v="האם לקבוע מקדמה או ערובה, ומה שיעורה, בעסקת מכר מקרקעין של קבלן בונה? ציין סייגים/תנאים חשובים, מה יש לדרוש מהנישום, תוך ציטוט הוראת/הוראות הביצוע הרלוונטיות והפסקה/פסקאות הרלוונטיות."/>
        <s v="מהו שיעור הסכום הקובע מהרווח הצפוי בדוח אפס, במסגרת פרויקט בליווי בנקאי? הסבר ונמק תוך ציטוט מפורש של הוראת/הוראות הביצוע והפסקה הרלוונטית."/>
        <s v="נציגות בית משותף (ועד בית) התקינה מתקן פוטו-וולטאי ומוכרת חשמל. האם היא זכאית להטבות המס?"/>
        <s v="אילו טפסים ומידע על קבלן להמציא על מנת להפחית ערובה בגין פרויקט בניה?"/>
        <s v="כאשר חוות הדעת חלקה אך מפנה לביאור שמלמד שחלקים גדולים מהדוח לא בוקרו האם מדובר בדוח סתמי  היינו הנמקה 77"/>
        <s v="לגבי התרת הוצאות מימון כאשר קיים במאזן הנישום נכס לא מניב - מהם כלל המס ותנאי הסף, שיעור ההוצאה ואופן החישוב, נטל ההוכחה ודרישות התיעוד מהנישום? הצג ניתוח משולב של סעיפי הפקודה, התקנות, הוראות הביצוע והפסיקה הרלוונטיים, וגבש מסקנה."/>
        <s v="האם פעילות של אריזה או הרכבה עשויה להיחשב 'מפעל יצרני' או לזכות בהטבות מס מכוח חוק עידוד השקעות הון? כלול ניתוח מול המבחנים הקובעים, הכרעה שומתית, וביסוס וסימוכין."/>
        <s v="במקרה שהכנסתו של נישום ממכירת חשמל גבוהה מהסכום הפטור, האם הנישום מאבד את כל ההטבה?"/>
        <s v="כמה ערובה צריך להשאיר לפקיד השומה על עסקת מכר של קבלן בונה?"/>
        <s v="האם ישות יכולה לדווח על בסיס מזומן בהתאם להוראת ביצוע 8/12"/>
        <s v="מכרתי מניות בחברה ואני בעל מניות מהותי ויש את מועד סגירת ההסכם, ומועד התקבול והעיסקה משולמת בדולרים.&#10;מהו המועד הנכון למיסוי הן מבחינת יום הדיווח והן קביעת שער הדולר לעיסקה.&#10;ככל וישנם גם תקבולי הולדבק כל שנה לפי שער דולר של מועד התקבול במשך 3 שנים איך תדוו"/>
        <s v="צרכן ביתי בחר מסלול מס מופחת על הכנסות מחשמל. בשנת 2016 הכנסתו ממכירת חשמל הייתה 120,000 ₪. כמה מס עליו לשלם וכיצד עליו לדווח בטופס השנתי?"/>
        <s v="בעסקת רווח הון הכוללת תמורה מותנית, מהו המועד המדויק למיסוי - במועד קבלת התמורה בפועל, במועד ההעברה לנאמן, במועד הזכאות, או מועד אחר? הסבר ונמק תוך ציטוט מפורש של הוראת/הוראות הביצוע, לרבות הפניה לפסיקה רלוונטית ככל שקיימת."/>
        <s v="כיצד יש לטפל בבקשת נישום לדווח במסלול שוכר-משכיר (10% מס) כאשר אין בידיו חוזה שכירות חתום כדין? האם קיימת פרקטיקה המאפשרת אסמכתאות חלופיות (דפי בנק, תצהיר, חשבונות רשות מקומית)?"/>
        <s v="חברה שקיבלה בעבר אישור 'חברה מיוחדת' מבקשת לחדשו. אילו תנאים יש לבחון לפני החידוש? מה עליי לבקש כסימוכין?"/>
        <s v="האם בקשה לתיקון דוח כתוצאה משינוי של מסלול מס בהשכרת דירות מהווה תיקון מהותי."/>
        <s v="כאשר מוגש דוח כספי לפקיד השומה, אך חוות הדעת המצורפת אליו חלקית ומפנה לביאור שממנו עולה כי חלקים גדולים מהדוח לא בוקרו - האם ניתן לראות בכך 'דוח סתמי' ולהזין 'הנמקה 77'? כלול בחינת מהות הדוח, הכרעה אופרטיבית, השלכות ישירות, וביסוס וציטוטים."/>
        <s v="האם ניתן לתת טופס 50 לחברה שסוחרת באופציות במקרקעין? הסבר ונמק תוך ציטוט הוראת/הוראות הביצוע הרלוונטיות והפסקה/פסקאות הרלוונטיות."/>
        <s v="נאמנות שהוקמה לפני שנת 2014, כאשר היוצר עלה לישראל לפני 2014 כתושב חוזר ותיק - האם הנאמנות זכאית להטבות המס של היוצר? מהו סיווג הנאמנות, אירועי המס וחובות הדיווח? הסבר ונמק תוך ציטוט פקודת מס הכנסה/חוזרים/הוראות ביצוע."/>
      </sharedItems>
    </cacheField>
    <cacheField name="תשובת המודל" numFmtId="0">
      <sharedItems>
        <s v="הגורם המנפיק את אישורי ניכוי המס במקור לתושבי חוץ וחברות זרות, הנדרשים לצורך העברת כספים לחו&quot;ל, הוא משרדי השומה. אישורים אלו מופקים לאחר קבלת אישור מהרפרנט המקצועי ומהמחלקה למיסוי בינלאומי בחטיבה המקצועית."/>
        <s v="הנפקת אישור לפי סעיף 50 לשותפות תלויה בסוג השותפות:&#10;&#10;*   **לשותפות רשומה:** כל שותף בשותפות נדרש להגיש בקשה נפרדת לפקיד השומה שבו מתנהל תיק השותף. פקיד השומה יבדוק אם השותף עומד בכל התנאים לקבלת האישור (כולל דרישת ערובה לפי חלקו). רק אם כל התנאים מתקיימים"/>
        <s v="בקשה לתיקון דוח הנובעת משינוי מסלול המס שבו דווחו הכנסות משכירות דירות תיחשב ככל הנראה לתיקון מהותי. זאת מכיוון שעל פי הוראת ביצוע מס הכנסה מספר 3/2018, תיקון המשנה באופן מהותי את חבות המס יוגדר כתיקון מהותי. שינוי מסלול מס עבור הכנסות משכירות דירות צפוי "/>
        <s v="כן, עיכוב אובייקטיבי בפרסום תעודת המס מצד שותפות נפט יכול להוות עילה מספקת לפתיחת שומה שהתיישנה. הוראת ביצוע רשות המיסים מספר 06/2026 קובעת כי פרסום תעודת מס עשוי להתבצע לאחר שהוגש הדוח השנתי ואף לאחר שחלף מועד ההתיישנות של אותו הדוח (סעיף 1.7). במקרים אל"/>
        <s v="לפי הכללים העדכניים, תשלום עבור שירותים שניתנו ובוצעו במלואם בחו&quot;ל על ידי נותני שירותים בחו&quot;ל פטור מניכוי מס במקור עד לסכום של 250,000 דולר לכל משלם. עדכון זה מחליף את הסכום הקודם שעמד על 60,000 דולר."/>
        <s v="כן, הנאמנות זכאית להטבות של היוצר. על פי הדין שחל עובר לתיקון 197 (לפני 1 בינואר 2014), כאשר נאמנות הפכה לנאמנות תושבי ישראל בשל עלייתו או חזרתו לישראל של יוצר בה שהיה &quot;יחיד מוטב&quot; (כמו תושב חוזר ותיק), חלו על הכנסת הנאמן ההקלות החלות על הכנסותיו של אותו י"/>
        <s v="בעסקת מכר מקרקעין של קבלן בונה, קביעת מקדמה או ערובה ושיעורן תלוי בסוג האישור המבוקש (כללי, לפרויקט או פרטני) ובמצב דיווח ההכנסות ותשלום המס:&#10;&#10;**1. קביעת מקדמה או ערובה:**&#10;*   **באופן כללי (הוראת ביצוע מס' 2/2010, סעיף 5.1):** אישור יותנה בערובה, למעט מקר"/>
        <s v="שיעור הסכום הקובע מהרווח הצפוי בפרויקט, על פי דו&quot;ח האפס הראשון שהוגש לתאגיד המלווה, הוא 13%. במקרה של יחיד ו/או חברה משפחתית, השיעור הוא 26%. הסכום הקובע מוגדר בכתב ההוראות הבלתי חוזרות, ומשמעותו סכום השווה לשיעור זה מהרווח הצפוי בפרויקט על פי דו&quot;ח האפס ה"/>
        <s v="כן, נציגות בית משותף (ועד בית) שהתקינה מתקן פוטו-וולטאי ומוכרת חשמל, זכאית להטבות מס. היא יכולה לבחור בין פטור מלא ממס על הכנסה ממכירת חשמל עד לתקרה מסוימת, לבין מס מופחת בשיעור 10% מהשקל הראשון. בנוסף, היא עשויה להיות פטורה מניהול פנקסי חשבונות, מהגשת די"/>
        <s v="על מנת להפחית ערובה בגין פרויקט בנייה, יש להמציא מידע שישכנע את פקיד השומה כי חבות מס ההכנסה הצפויה של הנישום מהפרויקט נמוכה מגובה הערובה הסטנדרטית. מידע זה יכול לכלול, לדוגמה, נתונים על הפסדים צבורים או צפויים לנישום.&#10;&#10;באשר לטפסים ומידע על הקבלן, אלו נדר"/>
        <s v="כן, סביר להניח שדוח כזה ייחשב כ'דוח סתמי' המצדיק את הנמקה 77. 'הנמקה 77' מתייחסת לעיכוב החזר מס עקב הגשת 'דוח סתמי'. 'חוות דעת חלקה' ניתנת כאשר רואה החשבון המבקר סבור שהדוחות הכספיים משקפים באופן נאות את מצב החברה, וזאת לאחר שביצע ביקורת מספקת. כאשר חוות "/>
        <s v="התרת הוצאות מימון כאשר קיים במאזן הנישום נכס לא מניב היא סוגיה מורכבת המושפעת מסוג הנכס, מטרתו, והשלב בו הוא נמצא (לפני או אחרי ייצור הכנסה). הניתוח המשולב של סעיפי הפקודה, התקנות, הוראות הביצוע והפסיקה הרלוונטיים מציג את הכללים הבאים:&#10;&#10;**1. כלל המס ותנאי"/>
        <s v="פעילות של אריזה או הרכבה עשויה להיחשב 'מפעל יצרני' ולזכות בהטבות מס מכוח חוק עידוד השקעות הון, אך הדבר תלוי באופי ובמהות הספציפיים של הפעילות וייבחן אל מול המבחנים הקובעים:&#10;&#10;**1. הגדרת 'מפעל תעשייתי' ו'פעילות ייצורית':**&#10;*   על פי סעיף 51 לחוק עידוד השקעו"/>
        <s v="-לא, הנישום אינו מאבד את כל ההטבה. במקרה שהכנסתו של נישום ממכירת חשמל עולה על הסכום המירבי הפטור, הוא עדיין יוכל ליהנות מהטבת המס שבחר (פטור ממס או מס מופחת) עד לסכום המירבי. הוראות הדין הרגיל יחולו רק על חלק ההכנסה העולה על הסכום המירבי."/>
        <s v="גובה הערובה שקבלן בונה צריך להשאיר לפקיד השומה על עסקת מכר תלוי בסוג האישור ובסוג הישות המשפטית של הקבלן, ונקבע בהתאם להוראת ביצוע מס הכנסה מספר 8/2021:&#10;&#10;1.  **באישור לפרויקט לכל אורך חיי הפרויקט:**&#10;    *   תידרש ערובה בגובה של **1.5%** משווי מחזור המכירו"/>
        <s v="בהתאם להוראת ביצוע מס' 8/2012, ככלל, אם ישות ערכה דוח כספי חשבונאי על בסיס מצטבר לפי כללי חשבונאות מקובלים, לא ניתן לשנות את בסיס הדיווח בדוח ההתאמה לצרכי מס לבסיס מזומן. עם זאת, קיימים חריגים:&#10;1. אם קיימת הוראה מפורשת בדיני המס לעניין הכנסה מסוימת, אזי נ"/>
        <s v="בהתאם לחוזר מס הכנסה 19/2018 בנושא עסקאות למכירת זכויות בתאגיד הכוללות תמורות עתידיות:&#10;&#10;**1. מועד הדיווח:**&#10;   *   באופן כללי, יום המכירה הוא היום בו השתכלל החוזה (לרוב יום חתימת ההסכם). הדיווח על העסקה, כולל התמורה הקבועה ובהיעדר בחירה במסלול חלופי גם הת"/>
        <s v="צרכן ביתי שבחר במסלול מס מופחת על הכנסות ממכירת חשמל בשנת 2016, והכנסתו עמדה על 120,000 ₪, יחויב במס באופן הבא:&#10;&#10;**חישוב המס:**&#10;*   סך של 99,006 ₪ מההכנסה יחויב במס בשיעור של 10%. כלומר, 9,900.6 ₪.&#10;*   ההפרש בסך 20,994 ₪ (120,000 ₪ - 99,006 ₪) ימוסה בהתאם"/>
        <s v="בעסקת רווח הון הכוללת תמורה מותנית, מועד המיסוי תלוי במסלול הדיווח הנבחר:&#10;&#10;**1. ברירת מחדל:**&#10;כברירת מחדל, אירוע המס מתרחש ביום המכירה, ועל כלל התמורות בעסקה (לרבות רכיב התמורה המותנית) יש לדווח בתוך 30 ימים מיום המכירה, בהתאם לסעיף 91(ד) לפקודת מס הכנסה."/>
        <s v="כאשר נישום מבקש לדווח במסלול שוכר-משכיר (10% מס) ואין בידיו חוזה שכירות חתום כדין, קיימות שתי חלופות עיקריות: הגשת תצהיר חתום בפני עורך דין מטעם המשכיר, או הגשת הצהרה מטעם המייצג (בשם הלקוח/המשכיר). על התצהיר או ההצהרה לכלול את הפרטים הבאים: פרטי הנכס המו"/>
        <s v="לפני חידוש אישור 'חברה מיוחדת', יש לבחון את התנאים הבאים:&#10;1.  **ביקורות מס:** בביקורות שנערכו לחברה ב-3 השנים האחרונות (ביקורות ניכויים ושומה), לא התגלו ממצאים בנושא ניכוי מס במקור מהעברות לחו&quot;ל.&#10;2.  **הליכים פליליים:** כנגד החברה ו/או מנהליה לא מתנהלים כ"/>
        <s v="כן, בקשה לתיקון דוח כתוצאה משינוי של מסלול מס בהשכרת דירות מהווה תיקון מהותי. תיקון מהותי מוגדר כתיקון המשפיע על ההכנסה החייבת המוצהרת או על חבות המס, וכולל שינוי בנקיטת עמדה מסוימת באשר לאופן, לעיתוי דיווח או לסיווג של מרכיבי ההכנסה החייבת, כאשר הנישום נ"/>
        <s v="כן, ניתן לראות בדוח כספי שהוגש עם חוות דעת חלקית המפנה לביאור שממנו עולה כי חלקים גדולים מהדוח לא בוקרו, כ'דוח סתמי' ולהזין 'הנמקה 77', או לטפל בו באופן דומה המוביל לאותן השלכות. זאת בהתבסס על הוראות הביצוע של רשות המסים:&#10;&#10;**1. בחינת מהות הדוח:**&#10;*   **תכ"/>
        <s v="לא, הנישום אינו מאבד את כל ההטבה. במקרה שהכנסתו של נישום ממכירת חשמל עולה על הסכום המירבי הפטור, הוא עדיין יוכל ליהנות מהטבת המס שבחר (פטור ממס או מס מופחת) עד לסכום המירבי. הוראות הדין הרגיל יחולו רק על חלק ההכנסה העולה על הסכום המירבי."/>
        <s v="על פי הוראות הביצוע שהוצגו, לא ניתן לתת טופס 50 לחברה שסוחרת באופציות במקרקעין. הוראות הביצוע מתייחסות באופן מפורש לקבלנים בונים המוכרים דירות מגורים או שטחי מסחר ממלאי עסקי, ומדווחים על הכנסותיהם ממכירת בניינים בהתאם לסעיף 8(א) לפקודת מס הכנסה.&#10;&#10;**הסבר ו"/>
        <s v="נאמנות שהוקמה לפני שנת 2014 על ידי יוצר שעלה לישראל לפני 2014 כתושב חוזר ותיק, זכאית להטבות המס של היוצר, בעיקר בכל הנוגע לפטורים מחובות דיווח על הכנסות ונכסים מחוץ לישראל.&#10;&#10;**1. סיווג הנאמנות:**&#10;*   אם היוצר היה תושב חוץ בעת יצירת הנאמנות, היא סווגה במקו"/>
      </sharedItems>
    </cacheField>
    <cacheField name="מקורות" numFmtId="0">
      <sharedItems>
        <s v="הוראת ביצוע מס הכנסה מס_ 2_2020 בנושא_ אישורי ניכוי מס במקור ואישורים לפי חוק עסקאות גופים ציבוריים לשנת המס 2020.pdf"/>
        <s v="הוראת ביצוע מס הכנסה מספר 8_2021 בנושא_ סוגי אישורים, ערובות והקפאות חוב מס שבח במתן אישור לפי סעיף 50 לחוק מיסוי מקרקעי.pdf&#10;&#10;397-סוגי אישורים ערובות והקפאות חוב מס שבח במתן אישור לפי סעיף 50 לחוק מיסוי מקרקעין.pdf"/>
        <s v="628-הוראת ביצוע 3.2018 בנושא אופן הטיפול בבקשת נישום לתיקון דוח על ההכנסות שהוגש על ידו לפקיד השומה.pdf&#10;&#10;הוראת ביצוע מס הכנסה מספר 3_2018 בנושא_ אופן הטיפול בבקשת נישום לתיקון דו_ח על ההכנסות שהוגש על ידו לפקיד השומה.pdf"/>
        <s v="הוראת ביצוע רשות המסים מספר 2026_ 06 - בנושא_ טיפול בבקשות לתיקוני שומה בידי מחזיקי יחידות השתתפות של שותפויות לחיפושי .pdf"/>
        <s v="תוספת מספר 1 להוראת ביצוע 34_93 – עדכון לעניין _חברות מיוחדות_ ניכוי מס במקור מתשלומים לתושבי חוץ.pdf"/>
        <s v="187-חוזר מ.ה 3.16 - מיסוי נאמנויות.pdf&#10;&#10;630-תוספת 1 להוב 1-2010 - נאמנויות - לאחר תיקונים- לפרסום3 3 2015 doc A.pdf"/>
        <s v="הקפאות חוב מס שבח, סוגי אישורים לפי סעיף 50 לחוק מיסוי מקרקעין, וערובות במתן טופס 50-02_2010.pdf&#10;&#10;הוראת ביצוע מס הכנסה מספר 8_2021 בנושא_ סוגי אישורים, ערובות והקפאות חוב מס שבח במתן אישור לפי סעיף 50 לחוק מיסוי מקרקעי.pdf"/>
        <s v="397-סוגי אישורים ערובות והקפאות חוב מס שבח במתן אישור לפי סעיף 50 לחוק מיסוי מקרקעין.pdf"/>
        <s v="הוראת ביצוע מס הכנסה ומע_מ מספר 7_2019 בנושא_ חוק לעידוד השקעה באנרגיות מתחדשות (הטבות מס בשל הפקת חשמל מאנרגיה מתחדשת),.pdf&#10;&#10;445-טיוטת חוזר חוק לעידוד אנרגיה מתחדשת 22.07.2019 (002) מונגש.pdf"/>
        <s v="הוראת ביצוע מס הכנסה מספר 8_2021 בנושא_ סוגי אישורים, ערובות והקפאות חוב מס שבח במתן אישור לפי סעיף 50 לחוק מיסוי מקרקעי.pdf&#10;&#10;397-סוגי אישורים ערובות והקפאות חוב מס שבח במתן אישור לפי סעיף 50 לחוק מיסוי מקרקעין.pdf&#10;&#10;אישורים כלליים לפי סעיף ‎50 לחוק מיסוי "/>
        <s v="הוראת ביצוע מס הכנסה מספר 4_2018 – רשות המסים בנושא_ דוחות חבר בני אדם שהוגשו ללא חוות דעת או עם חוות דעת הסוטה מהנוסח ה.pdf&#10;&#10;493-הוראת ביצוע 4.2018 בנושא דוחות חבר בני אדם שהוגשו ללא חוות דעת או עם חוות דעת הסוטה מהנוסח האחיד (חוות דעת לא חלקה).pdf&#10;&#10;32-ה"/>
        <s v="385-ה_ב מיסוי מקרקעין 16 2003.pdf&#10;&#10;127-הטיפול המיסויי בירידת ערך של מלאי עסקי בידי קבלני בנין ובידי סוחרי נדל_ן ואי הכרה בירידת ערך של .pdf&#10;&#10;יישום הוראות חוק התיאומים בשנת המס 2000 - הוראת ביצוע מס_ 18_2001.pdf&#10;&#10;54-עדכון החלטות ועדת פסיקה (עדכון מס_ 6)-.p"/>
        <s v="69-חוזר מס הכנסה בנושא הפרדת מפעלים - סופי מונגש לפרסום.pdf&#10;&#10;חוק עידוד השקעות הון - ניתוב הדוחות ושידור מפעל מוטב - 7_2009.pdf&#10;&#10;588-עידכון ה ב מס הכנסה 7-2007 שומה -מקצועית חוק עידוד השקעות הון – ניתוב הדוחות ושידור מפעל מוטב .pdf&#10;&#10;40-תכנית העבודה בתחום ה"/>
        <s v="הוראת ביצוע מס הכנסה ומע_מ מספר 7_2019 בנושא_ חוק לעידוד השקעה באנרגיות מתחדשות (הטבות מס בשל הפקת חשמל מאנרגיה מתחדשת),.pdf"/>
        <s v="הוראת ביצוע מס הכנסה מספר 8_2021 בנושא_ סוגי אישורים, ערובות והקפאות חוב מס שבח במתן אישור לפי סעיף 50 לחוק מיסוי מקרקעי.pdf"/>
        <s v="בסיס דווח לצרכי מס - מזומן או מצטבר 08_2012.pdf&#10;&#10;408-הוראת ביצוע מס הכנסה מס 82012 - רשות המסים בנושא בסיס דווח לצרכי מס – מזומן או מצטבר .pdf"/>
        <s v="14-תמורות מותנות סופי.pdf"/>
        <s v="445-טיוטת חוזר חוק לעידוד אנרגיה מתחדשת 22.07.2019 (002) מונגש.pdf&#10;&#10;הוראת ביצוע מס הכנסה ומע_מ מספר 7_2019 בנושא_ חוק לעידוד השקעה באנרגיות מתחדשות (הטבות מס בשל הפקת חשמל מאנרגיה מתחדשת),.pdf"/>
        <s v="תוספת 1 להוראת ביצוע 5_2026 מערכת מקוונת לדיווח ותשלום מס על הכנסות מהשכרת נכסים בישראל.pdf&#10;&#10;הוראת ביצוע מס הכנסה מספר 5_2026 - רשות המסים בנושא_ מערכת מקוונת לדיווח ותשלום מס על הכנסות מהשכרת נכסים בישראל.pdf"/>
        <s v="תוספת מספר 1 להוראת ביצוע 34_93 – עדכון לעניין _חברות מיוחדות_ ניכוי מס במקור מתשלומים לתושבי חוץ.pdf&#10;&#10;564-ה ב 6-2006 - ניכויים תוכנית עבודה בתחום הניכויים לשנת 2006 .pdf"/>
        <s v="הוראת ביצוע מס הכנסה מספר 3_2018 בנושא_ אופן הטיפול בבקשת נישום לתיקון דו_ח על ההכנסות שהוגש על ידו לפקיד השומה.pdf&#10;&#10;628-הוראת ביצוע 3.2018 בנושא אופן הטיפול בבקשת נישום לתיקון דוח על ההכנסות שהוגש על ידו לפקיד השומה.pdf"/>
        <s v="הוראת ביצוע מס הכנסה מספר 05_2024 - ניתוב שלב א ושינויים בשידור דוחות ושומות יחידים וחברות לשנת המס 2023.pdf&#10;&#10;493-הוראת ביצוע 4.2018 בנושא דוחות חבר בני אדם שהוגשו ללא חוות דעת או עם חוות דעת הסוטה מהנוסח האחיד (חוות דעת לא חלקה).pdf&#10;&#10;598-הוראת ביצוע ניתו"/>
        <s v="אישורים כלליים לפי סעיף ‎50 לחוק מיסוי מקרקעין -דירות מגורים (תוספת להוראות ביצוע ‎83_85 ו - ‎90_17)- 14_2003.pdf&#10;&#10;הקפאות חוב מס שבח, סוגי אישורים לפי סעיף 50 לחוק מיסוי מקרקעין, וערובות במתן טופס 50-02_2010.pdf"/>
        <s v="187-חוזר מ.ה 3.16 - מיסוי נאמנויות.pdf&#10;&#10;630-תוספת 1 להוב 1-2010 - נאמנויות - לאחר תיקונים- לפרסום3 3 2015 doc A.pdf&#10;&#10;תוספת מס_ 1 להוראת ביצוע מס הכנסה מס_ 1-2010 דיווחים בנושא נאמנויות, קליטה וטיפול במשרדי השומה – בעקבות תיקון 197 לפקודה.pdf&#10;&#10;387-הוב מס ה"/>
      </sharedItems>
    </cacheField>
    <cacheField name="ציון משוקלל מתוך תשובת רכזים, כולל הערות" numFmtId="0">
      <sharedItems containsBlank="1">
        <m/>
        <s v="ציון 9"/>
        <s v="9.3 - משוקלל של 2 בודקים"/>
        <s v="9.1 - משוקלל של 2 בודקים, "/>
        <s v="ציון 7 - ברשימת מקורות אין  מקור , אלא רק תיקונים/עדכונים"/>
        <s v="ציון 1 - מודל התבלבל בין הטפסים הנדרשים לאישור הפרויקט בתחילתו לבין שלב הפחתת הערובה, והיה צריך לכתוב כי לפי הוראת ביצוע 8/2021 יש להגיש טופס 7503 בליווי דוח אפס מעודכן המוכיח את הירידה הצפויה ברווחיות."/>
        <s v="ציון 5 - מודל נתן תשובה לא מלאה. התשובה : הדוח אכן פגום מהותית ומועמד לפסילה כ'דוח סתמי' (הנמקה 77). עם זאת, מאחר שמדובר במקרה של 'תחום אפור' (כפי שעולה מהוראת ביצוע 4/2018), פקיד השומה אינו רשאי לפסול אותו באופן אוטומטי; טרם הפסילה, עליו לדרוש תחילה הבהר"/>
        <s v="ציון 2 - מודל החטיא את הסוגיה כשהסתמך על חוק התיאומים שבוטל ועל סעיף 18 במקום על סעיף 17, בעוד שהתשובה הנכונה חייבת לשלול את ניכוי הוצאות המימון מכוח סעיף 17(1) לפקודה והעיקרון הפסיקתי של &quot;הכלים השלובים&quot;, הקובעים שריבית על הון שלא שימש בייצור הכנסה אינה מ"/>
        <s v="ציון 5 - מודל נתן תשובה לא מלאה. המודל ענה על &quot;האם מדובר במפעל תעשייתי&quot; במקום על מה שנשאל בפועל – &quot;האם מדובר בפעילות ייצורית&quot;, תוך הישענות בעיקר על מבחנים כמותיים-תפעוליים (עובדים, מכונות) מהוראת ביצוע 7/2009, ובכך פספס את מבחני המהות המשפטיים (שינוי אופי"/>
        <s v="9.7 - משוקלל של 2 בודקים, "/>
        <s v="? ציון בין 6-4? - מבוססת על מקורות נכונים, ומזהה נכון את שלל הרבדים הרלוונטיים (מהות/הכרעה/השלכות) – אך המסקנה המרכזית מוצגת בביטחון-יתר שאינו נתמך במלואו במקורות המצוטטים, תוך טשטוש ההבחנה הקריטית בין &quot;הימנעות מחוות דעת&quot; (המובילה ישירות להנמקה 77) לבין &quot;"/>
        <s v="ציון 10"/>
        <s v="ציון 7 - תשובה המודל לא מדויקת: יש טעות בזיהוי מקור החריג – סעיף 8ב עוסק בהכנסות משכירות (סעיף 2(6)), ולא בהכנסות מסעיפים 2(9)/2(4) כפי שנטען – וכן הציג את הכלל מבלי לבסס את ההבחנה המרכזית שבהוראת ביצוע 8/2012 בין חברות ליחידים. &#10;תשובה נכונה הייתה צריכה ל"/>
        <s v="ציון 1 - מודל טעה בזיהוי הגורם המוסמך – ציין &quot;משרדי השומה&quot; בעוד שבמקרה של רכישת מניות חברה ישראלית ע&quot;י גורם זר הגורם המנפיק הוא המחלקה המקצועית, ומעבר לכך התעלם לחלוטין משאלת הסף המכרעת: האם בכלל חלה חובת ניכוי מס במקור, לאור פטור אפשרי לפי סעיף 97(ב) לפק"/>
      </sharedItems>
    </cacheField>
    <cacheField name="חותמת זמן" numFmtId="0">
      <sharedItems containsDate="1" containsString="0" containsBlank="1">
        <m/>
        <d v="2026-08-24T12:20:27Z"/>
        <d v="2026-08-24T18:18:38Z"/>
        <d v="2026-08-26T12:26:15Z"/>
        <d v="2026-08-19T07:36:44Z"/>
        <d v="2026-08-20T11:34:00Z"/>
        <d v="2026-08-18T17:36:41Z"/>
      </sharedItems>
    </cacheField>
    <cacheField name="האם התשובה נכונה? " numFmtId="0">
      <sharedItems containsBlank="1">
        <m/>
        <s v="נכונה"/>
        <s v="שגויה"/>
      </sharedItems>
    </cacheField>
    <cacheField name="  עד כמה התשובה מדויקת?  " numFmtId="0">
      <sharedItems containsString="0" containsBlank="1" containsNumber="1" containsInteger="1">
        <m/>
        <n v="9.0"/>
        <n v="8.0"/>
        <n v="1.0"/>
        <n v="4.0"/>
        <n v="5.0"/>
        <n v="10.0"/>
        <n v="7.0"/>
        <n v="2.0"/>
      </sharedItems>
    </cacheField>
    <cacheField name="  פירוט לגבי הדיוק  " numFmtId="0">
      <sharedItems containsBlank="1">
        <m/>
        <s v="טופס 7503 ודוח 0 מעודכן רשום בהוראת הביצוע משנת 21 בצורה ברורה המודל התפזר"/>
        <s v="מקרה בתחום האפור, במקרה הזה יש לקבל הבהרות מרו&quot;ח ולפנות למקצועית האם הנמקה 77"/>
        <s v="התפלק לו, הוא לא בכיוון. לדעתי הוא הבין שיש צורך שבפקודה יהיה אופציה לייחוס הוצאות המימון ולכן הלך לסעיף 18. הוא פספס לחלוטין מדובר בנכס לא מניב ולכן היה אמור לכוון מלכתכילה לסעיף 17 כי לא מדובר בוהצאה בייצור הכנסה שיש להוונה לעלות הנכס. שיטת הייחוס לא מפ"/>
        <s v="לדעתי השאלה לא נשאלה בצורה נכונה ולא מדויקת. פעילות יצורית  המבחן זה יצירת מוצר חדש - הופכת חומר גלם למוצר, משנה את אופיו ומהותו, חיבור רכיבים ויצירת מוצר חדש, מבחן השינוי , מבחן של תהליכי ייצור, השבחת המוצר. "/>
        <s v="יש לבצע הבחנה בין בניה שהסתיימה לבניה בהתהוות) בנוגע לפסקה 2) .&#10;במגרש לוקחים 23% על הרווח, אך ביחידת מגורים יש להבחין האם הבניה הסתיימה בשנה השוטפת ואז ידווח 23% מהרווח לבין מצב בו ההכנסה ממכירת הדירה דווחה והמס שולם ואז אין ערובה לבין מצב בו הבנייה טרם ה"/>
        <s v="במנגנון הולדבק יש להתייחס אל חוזר 7/2015 עם פיצול התמורה למרכיב הוני ופירותי . "/>
        <s v="יש לפרט כי הנתונים לא מספקים. האם הנישום עמד בכל הקריטריונים לקבלת המסלול המופחת? האם יש בידו רישיון ספק שירות? האם לא מדובר בהכנסה מעסק? האם מסר הודעה על כך לפקיד השומה?"/>
        <s v="לדעתי התשובה אינה מדויקת - במקרה של הימנעות, אני חושב שאין לקלוט את הדוח."/>
        <s v="החלק לגבי תחולת 8ב אינו נכון. 8ב חל על הכנסות מ 2(6)"/>
        <s v="היעדר סעיפי החוק המרכזיים. התשובה אינה מציינת את סעיף 17(1) ואת סעיף 18(ג) לפקודה. &#10;הסתמכות שגויה על חוק התיאומים שבוטל. &#10;היעדר מוחלט של הפסיקה המנחה. "/>
        <s v="התשובה מתייחסת להעברת כספים מהחברה לתושב חוץ. ברגע שחברה זרה רוכשת מניות של חברה ישראלית הגורם המנפיק הוא המחלקה המקצועית ולא משרדי השומה. במקרה שלנו כנראה לא חלה חובת ניכוי מס במקור לפי 97ב."/>
      </sharedItems>
    </cacheField>
    <cacheField name="  עד כמה התשובה שלמה?  " numFmtId="0">
      <sharedItems containsString="0" containsBlank="1" containsNumber="1" containsInteger="1">
        <m/>
        <n v="9.0"/>
        <n v="6.0"/>
        <n v="1.0"/>
        <n v="4.0"/>
        <n v="10.0"/>
        <n v="8.0"/>
        <n v="7.0"/>
        <n v="2.0"/>
      </sharedItems>
    </cacheField>
    <cacheField name="פירוט לגבי שלמות התשובה" numFmtId="0">
      <sharedItems containsBlank="1">
        <m/>
        <s v="לא הובא מסמך המקור, צורף רק המסמך עם העידכונים"/>
        <s v="הייתי רוצה הפניה מדויקת לכך שהפטור הוא ליחיד או לנציגות המס המשותף"/>
        <s v="המודל התפזר לא רשום הטופס לא רשום דוח 0 מעודכן אלו הדברים החשובים"/>
        <s v="ראה תשובה 1"/>
        <s v="אולי היא שלמה אבל לא לשאלה הזו, האמת שאני לא בטוח שהיא שלמה לאף שאלה."/>
        <s v="לדעתי חסרים פסקי דין רלוונטיים לקביעה האם יצורי או לאו בסעיף 4 לתשובה היא עונה האם מדובר במפעל תעשייתי מה שהוא לא נשאל הוא נשאל האם מדובר בפעילות ייצורית זה אכן אחד התנאים להכנס לחוק אך לא נשאל אל כך."/>
        <s v="ההבחנה בין בנייה שהסתיימה לבין בניה בהתהוות "/>
        <s v="הייתי מוסיפה פסיקה רלוונטית: פסק דין מיקוד, קבוצתיות השומרים, ועקרונות מנחים"/>
        <s v="אריתמטית התשובה נכונה.  הייתי מוסיפה שאין לו זכאות למסלול הפטור , כיוון שמדובר בפטור מתקפל והוא נוגס בכולו"/>
        <s v="אין התייחסות להבדלים בין חברות ליחידים"/>
        <s v="אפשר להוסיף התייחסות לאופן הטיפול הטכני"/>
        <s v="ניתן היה להוסיף התייחסות לפרויקט בליווי פיננסי סגור "/>
        <s v="היעדר סעיפי החוק המרכזיים. התשובה אינה מציינת את סעיף 17(1) ואת סעיף 18(ג) לפקודה. &#10;הסתמכות שגויה על חוק התיאומים שבוטל. &#10;היעדר מוחלט של הפסיקה המנחה. "/>
        <s v="תשובה לא נכונה."/>
      </sharedItems>
    </cacheField>
    <cacheField name="  עד כמה המסמכים שהמודל הביא רלוונטיים לשאלה?  " numFmtId="0">
      <sharedItems containsString="0" containsBlank="1" containsNumber="1" containsInteger="1">
        <m/>
        <n v="9.0"/>
        <n v="10.0"/>
        <n v="7.0"/>
        <n v="1.0"/>
        <n v="3.0"/>
        <n v="8.0"/>
        <n v="6.0"/>
        <n v="2.0"/>
      </sharedItems>
    </cacheField>
    <cacheField name="  פירוט לגבי רלוונטיות המקורות  " numFmtId="0">
      <sharedItems containsBlank="1">
        <m/>
        <s v="חסר מסמך המקור"/>
        <s v="המקור היחיד שרלוונטי זה הוראת הביצוע עמוד 10 סעיף 5.3.3.2"/>
        <s v="עצרתי באמצע פשוט לא שם"/>
        <s v="יש חזורים נוספים  המדברים יש החלטות מיסוי בנושא."/>
        <s v="רלוונטית מאוד"/>
        <s v="הוספתי הפסיקה שלעיל"/>
        <s v="צירוף החוזר 5.2017 אולי פסיקה כמו חיים להמן"/>
        <s v="צירוף פסקי דין רג'ואן   אברהם פלוס"/>
        <s v="המודל ציין בתשובה את הוראת הביצוע אך לא ציין אותה במסמכים."/>
        <s v="חסר התייחסות לסעיפי החוק מהפקודה. חסר פסיקה שמאוד חשובה בסוגיה זאת. מנגד חוק התיאומים לא רלוונטי כמעט בכלל. "/>
        <s v="הוראת הביצוע לא רלוונטית."/>
      </sharedItems>
    </cacheField>
    <cacheField name="  רלוונטיות ובהירות התשובה  " numFmtId="0">
      <sharedItems containsString="0" containsBlank="1" containsNumber="1" containsInteger="1">
        <m/>
        <n v="7.0"/>
        <n v="9.0"/>
        <n v="8.0"/>
        <n v="1.0"/>
        <n v="6.0"/>
        <n v="10.0"/>
        <n v="4.0"/>
        <n v="2.0"/>
      </sharedItems>
    </cacheField>
    <cacheField name="  פירוט לגבי רלוונטיות ובהירות  " numFmtId="0">
      <sharedItems containsBlank="1">
        <m/>
        <s v="המלל מסורבל וקשה להבין מה מהתשובה נלקח מאיזה מקור"/>
        <s v="המודל התפזר עודף מידע לא רלוונטי צריך להסביר את הרציו בהפחתה שנמכרו מספר דירות, צפוי הפסד עתידי ולכן עליו להמציא טופס... ודוח 0 מעודכן"/>
        <s v="לא שם"/>
        <s v="רלוונטית אך חלקית"/>
        <s v="פיצול מרכיב התמורה בעסקת הולדבק "/>
        <s v="אולי יש להוסיף חידוד בין תיקון מהותי לטכניון, כמו כן לעניין ההתיישנות"/>
        <s v="עונה על השאלה במדויק"/>
        <s v="היעדר סעיפי החוק המרכזיים. התשובה אינה מציינת את סעיף 17(1) ואת סעיף 18(ג) לפקודה. &#10;הסתמכות שגויה על חוק התיאומים שבוטל. &#10;היעדר מוחלט של הפסיקה המנחה. "/>
        <s v="לא נכונה."/>
      </sharedItems>
    </cacheField>
    <cacheField name="  עד כמה התשובה מאפשרת למפקח להסתמך עליה במינימום מאמץ?  " numFmtId="0">
      <sharedItems containsString="0" containsBlank="1" containsNumber="1" containsInteger="1">
        <m/>
        <n v="9.0"/>
        <n v="6.0"/>
        <n v="7.0"/>
        <n v="1.0"/>
        <n v="4.0"/>
        <n v="5.0"/>
        <n v="10.0"/>
        <n v="8.0"/>
      </sharedItems>
    </cacheField>
    <cacheField name="  פירוט לגבי יעילות ויכולת הסתמכות  " numFmtId="0">
      <sharedItems containsBlank="1">
        <m/>
        <s v="כן, אשמח להכוונה מדוייקת איפה למצוא את התשובה "/>
        <s v="להפנות לחוזר האחרון שיצא"/>
        <s v="מקרה אפור המודל לא ענה בצורה מלאה יותר מדי החלטי"/>
        <s v="לא!"/>
        <s v="היא נותנת כיוון אך היא לא מלאה"/>
        <s v="כן"/>
        <s v="ההסברים לא קשורים לשאלה."/>
        <s v="אפשר להסתמך."/>
      </sharedItems>
    </cacheField>
    <cacheField name="  הערות כלליות של הבודק  " numFmtId="0">
      <sharedItems containsBlank="1">
        <m/>
        <s v="מפוזר לא ניתן להסתמך דרך אגב תכנסו להוצאת רונן למיסים AI הוא נותן תשובה הרבה יותר טובה"/>
        <s v="גם פה ניסיתי את AI הוצאת רונן מנתח את המקרה בצורה הרבה יותר טובה תבדקו"/>
        <s v="נרשם לעיל"/>
        <s v="בתיקון טכני אין שינוי במועד ההגשה בעוד שבתיקון מהותי מועד התיקון הוא מועד הגשת הדוח"/>
      </sharedItems>
    </cacheField>
    <cacheField name="  עד כמה התשובה מדויקת?  2" numFmtId="0">
      <sharedItems containsString="0" containsBlank="1">
        <m/>
      </sharedItems>
    </cacheField>
    <cacheField name="  פירוט לגבי הדיוק  2" numFmtId="0">
      <sharedItems containsString="0" containsBlank="1">
        <m/>
      </sharedItems>
    </cacheField>
    <cacheField name="  עד כמה התשובה שלמה?  2" numFmtId="0">
      <sharedItems containsString="0" containsBlank="1">
        <m/>
      </sharedItems>
    </cacheField>
    <cacheField name="פירוט לגבי שלמות התשובה2" numFmtId="0">
      <sharedItems containsString="0" containsBlank="1">
        <m/>
      </sharedItems>
    </cacheField>
    <cacheField name="  עד כמה המסמכים שהמודל הביא רלוונטיים לשאלה?  2" numFmtId="0">
      <sharedItems containsString="0" containsBlank="1">
        <m/>
      </sharedItems>
    </cacheField>
    <cacheField name="  פירוט לגבי רלוונטיות המקורות  2" numFmtId="0">
      <sharedItems containsString="0" containsBlank="1">
        <m/>
      </sharedItems>
    </cacheField>
    <cacheField name="  רלוונטיות ובהירות התשובה  2" numFmtId="0">
      <sharedItems containsString="0" containsBlank="1">
        <m/>
      </sharedItems>
    </cacheField>
    <cacheField name="  פירוט לגבי רלוונטיות ובהירות  2" numFmtId="0">
      <sharedItems containsString="0" containsBlank="1">
        <m/>
      </sharedItems>
    </cacheField>
    <cacheField name="  עד כמה התשובה מאפשרת למפקח להסתמך עליה במינימום מאמץ?  2" numFmtId="0">
      <sharedItems containsString="0" containsBlank="1">
        <m/>
      </sharedItems>
    </cacheField>
    <cacheField name="  פירוט לגבי יעילות ויכולת הסתמכות  2" numFmtId="0">
      <sharedItems containsString="0" containsBlank="1">
        <m/>
      </sharedItems>
    </cacheField>
    <cacheField name="  הערות כלליות של הבודק  2" numFmtId="0">
      <sharedItems containsString="0" containsBlank="1">
        <m/>
      </sharedItems>
    </cacheField>
    <cacheField name="האם התשובה נכונה? 2" numFmtId="0">
      <sharedItems containsString="0" containsBlank="1">
        <m/>
      </sharedItems>
    </cacheField>
    <cacheField name="  עד כמה התשובה מדויקת?  3" numFmtId="0">
      <sharedItems containsString="0" containsBlank="1">
        <m/>
      </sharedItems>
    </cacheField>
    <cacheField name="  פירוט לגבי הדיוק  3" numFmtId="0">
      <sharedItems containsString="0" containsBlank="1">
        <m/>
      </sharedItems>
    </cacheField>
    <cacheField name="  עד כמה התשובה שלמה?  3" numFmtId="0">
      <sharedItems containsString="0" containsBlank="1">
        <m/>
      </sharedItems>
    </cacheField>
    <cacheField name="פירוט לגבי שלמות התשובה3" numFmtId="0">
      <sharedItems containsString="0" containsBlank="1">
        <m/>
      </sharedItems>
    </cacheField>
    <cacheField name="  עד כמה המסמכים שהמודל הביא רלוונטיים לשאלה?  3" numFmtId="0">
      <sharedItems containsString="0" containsBlank="1">
        <m/>
      </sharedItems>
    </cacheField>
    <cacheField name="  פירוט לגבי רלוונטיות המקורות  3" numFmtId="0">
      <sharedItems containsString="0" containsBlank="1">
        <m/>
      </sharedItems>
    </cacheField>
    <cacheField name="  רלוונטיות ובהירות התשובה  3" numFmtId="0">
      <sharedItems containsString="0" containsBlank="1">
        <m/>
      </sharedItems>
    </cacheField>
    <cacheField name="  פירוט לגבי רלוונטיות ובהירות  3" numFmtId="0">
      <sharedItems containsString="0" containsBlank="1">
        <m/>
      </sharedItems>
    </cacheField>
    <cacheField name="  עד כמה התשובה מאפשרת למפקח להסתמך עליה במינימום מאמץ?  3" numFmtId="0">
      <sharedItems containsString="0" containsBlank="1">
        <m/>
      </sharedItems>
    </cacheField>
    <cacheField name="  פירוט לגבי יעילות ויכולת הסתמכות  3" numFmtId="0">
      <sharedItems containsString="0" containsBlank="1">
        <m/>
      </sharedItems>
    </cacheField>
    <cacheField name="  הערות כלליות של הבודק  3" numFmtId="0">
      <sharedItems containsString="0" containsBlank="1">
        <m/>
      </sharedItems>
    </cacheField>
    <cacheField name="האם התשובה נכונה? 3" numFmtId="0">
      <sharedItems containsString="0" containsBlank="1">
        <m/>
      </sharedItems>
    </cacheField>
    <cacheField name="  עד כמה התשובה מדויקת?  4" numFmtId="0">
      <sharedItems containsString="0" containsBlank="1">
        <m/>
      </sharedItems>
    </cacheField>
    <cacheField name="  פירוט לגבי הדיוק  4" numFmtId="0">
      <sharedItems containsString="0" containsBlank="1">
        <m/>
      </sharedItems>
    </cacheField>
    <cacheField name="  עד כמה התשובה שלמה?  4" numFmtId="0">
      <sharedItems containsString="0" containsBlank="1">
        <m/>
      </sharedItems>
    </cacheField>
    <cacheField name="פירוט לגבי שלמות התשובה4" numFmtId="0">
      <sharedItems containsString="0" containsBlank="1">
        <m/>
      </sharedItems>
    </cacheField>
    <cacheField name="  עד כמה המסמכים שהמודל הביא רלוונטיים לשאלה?  4" numFmtId="0">
      <sharedItems containsString="0" containsBlank="1">
        <m/>
      </sharedItems>
    </cacheField>
    <cacheField name="  פירוט לגבי רלוונטיות המקורות  4" numFmtId="0">
      <sharedItems containsString="0" containsBlank="1">
        <m/>
      </sharedItems>
    </cacheField>
    <cacheField name="  רלוונטיות ובהירות התשובה  4" numFmtId="0">
      <sharedItems containsString="0" containsBlank="1">
        <m/>
      </sharedItems>
    </cacheField>
    <cacheField name="  פירוט לגבי רלוונטיות ובהירות  4" numFmtId="0">
      <sharedItems containsString="0" containsBlank="1">
        <m/>
      </sharedItems>
    </cacheField>
    <cacheField name="  עד כמה התשובה מאפשרת למפקח להסתמך עליה במינימום מאמץ?  4" numFmtId="0">
      <sharedItems containsString="0" containsBlank="1">
        <m/>
      </sharedItems>
    </cacheField>
    <cacheField name="  פירוט לגבי יעילות ויכולת הסתמכות  4" numFmtId="0">
      <sharedItems containsString="0" containsBlank="1">
        <m/>
      </sharedItems>
    </cacheField>
    <cacheField name="  הערות כלליות של הבודק  4" numFmtId="0">
      <sharedItems containsString="0" containsBlank="1">
        <m/>
      </sharedItems>
    </cacheField>
    <cacheField name="האם התשובה נכונה? 4" numFmtId="0">
      <sharedItems containsString="0" containsBlank="1">
        <m/>
      </sharedItems>
    </cacheField>
    <cacheField name="  עד כמה התשובה מדויקת?  5" numFmtId="0">
      <sharedItems containsString="0" containsBlank="1">
        <m/>
      </sharedItems>
    </cacheField>
    <cacheField name="  פירוט לגבי הדיוק  5" numFmtId="0">
      <sharedItems containsString="0" containsBlank="1">
        <m/>
      </sharedItems>
    </cacheField>
    <cacheField name="  עד כמה התשובה שלמה?  5" numFmtId="0">
      <sharedItems containsString="0" containsBlank="1">
        <m/>
      </sharedItems>
    </cacheField>
    <cacheField name="פירוט לגבי שלמות התשובה5" numFmtId="0">
      <sharedItems containsString="0" containsBlank="1">
        <m/>
      </sharedItems>
    </cacheField>
    <cacheField name="  עד כמה המסמכים שהמודל הביא רלוונטיים לשאלה?  5" numFmtId="0">
      <sharedItems containsString="0" containsBlank="1">
        <m/>
      </sharedItems>
    </cacheField>
    <cacheField name="  פירוט לגבי רלוונטיות המקורות  5" numFmtId="0">
      <sharedItems containsString="0" containsBlank="1">
        <m/>
      </sharedItems>
    </cacheField>
    <cacheField name="  רלוונטיות ובהירות התשובה  5" numFmtId="0">
      <sharedItems containsString="0" containsBlank="1">
        <m/>
      </sharedItems>
    </cacheField>
    <cacheField name="  פירוט לגבי רלוונטיות ובהירות  5" numFmtId="0">
      <sharedItems containsString="0" containsBlank="1">
        <m/>
      </sharedItems>
    </cacheField>
    <cacheField name="  עד כמה התשובה מאפשרת למפקח להסתמך עליה במינימום מאמץ?  5" numFmtId="0">
      <sharedItems containsString="0" containsBlank="1">
        <m/>
      </sharedItems>
    </cacheField>
    <cacheField name="  פירוט לגבי יעילות ויכולת הסתמכות  5" numFmtId="0">
      <sharedItems containsString="0" containsBlank="1">
        <m/>
      </sharedItems>
    </cacheField>
    <cacheField name="  הערות כלליות של הבודק  5" numFmtId="0">
      <sharedItems containsString="0" containsBlank="1">
        <m/>
      </sharedItems>
    </cacheField>
    <cacheField name="האם התשובה נכונה? 5"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טבלת ציר 1" cacheId="0" dataCaption="" colGrandTotals="0" compact="0" compactData="0">
  <location ref="A1:D28"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מפקח" compact="0" outline="0" multipleItemSelectionAllowed="1" showAll="0">
      <items>
        <item x="0"/>
        <item x="1"/>
        <item x="2"/>
        <item x="3"/>
        <item x="4"/>
        <item x="5"/>
        <item x="6"/>
        <item x="7"/>
        <item x="8"/>
        <item x="9"/>
        <item t="default"/>
      </items>
    </pivotField>
    <pivotField name="שאלה" axis="axisRow" compact="0" outline="0" multipleItemSelectionAllowed="1" showAll="0" sortType="ascending">
      <items>
        <item x="1"/>
        <item x="9"/>
        <item x="3"/>
        <item x="13"/>
        <item x="18"/>
        <item x="21"/>
        <item x="15"/>
        <item x="6"/>
        <item x="23"/>
        <item x="12"/>
        <item x="2"/>
        <item x="0"/>
        <item x="20"/>
        <item x="10"/>
        <item x="22"/>
        <item x="19"/>
        <item x="14"/>
        <item x="11"/>
        <item x="7"/>
        <item x="16"/>
        <item x="5"/>
        <item x="24"/>
        <item x="8"/>
        <item x="4"/>
        <item x="17"/>
        <item t="default"/>
      </items>
    </pivotField>
    <pivotField name="תשובת המודל"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מקורות"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ציון משוקלל מתוך תשובת רכזים, כולל הערות" compact="0" outline="0" multipleItemSelectionAllowed="1" showAll="0">
      <items>
        <item x="0"/>
        <item x="1"/>
        <item x="2"/>
        <item x="3"/>
        <item x="4"/>
        <item x="5"/>
        <item x="6"/>
        <item x="7"/>
        <item x="8"/>
        <item x="9"/>
        <item x="10"/>
        <item x="11"/>
        <item x="12"/>
        <item x="13"/>
        <item t="default"/>
      </items>
    </pivotField>
    <pivotField name="חותמת זמן" compact="0" outline="0" multipleItemSelectionAllowed="1" showAll="0">
      <items>
        <item x="0"/>
        <item x="1"/>
        <item x="2"/>
        <item x="3"/>
        <item x="4"/>
        <item x="5"/>
        <item x="6"/>
        <item t="default"/>
      </items>
    </pivotField>
    <pivotField name="האם התשובה נכונה? " axis="axisCol" compact="0" outline="0" multipleItemSelectionAllowed="1" showAll="0" sortType="ascending">
      <items>
        <item x="0"/>
        <item x="1"/>
        <item x="2"/>
        <item t="default"/>
      </items>
    </pivotField>
    <pivotField name="  עד כמה התשובה מדויקת?  " compact="0" outline="0" multipleItemSelectionAllowed="1" showAll="0">
      <items>
        <item x="0"/>
        <item x="1"/>
        <item x="2"/>
        <item x="3"/>
        <item x="4"/>
        <item x="5"/>
        <item x="6"/>
        <item x="7"/>
        <item x="8"/>
        <item t="default"/>
      </items>
    </pivotField>
    <pivotField name="  פירוט לגבי הדיוק  " compact="0" outline="0" multipleItemSelectionAllowed="1" showAll="0">
      <items>
        <item x="0"/>
        <item x="1"/>
        <item x="2"/>
        <item x="3"/>
        <item x="4"/>
        <item x="5"/>
        <item x="6"/>
        <item x="7"/>
        <item x="8"/>
        <item x="9"/>
        <item x="10"/>
        <item x="11"/>
        <item t="default"/>
      </items>
    </pivotField>
    <pivotField name="  עד כמה התשובה שלמה?  " compact="0" outline="0" multipleItemSelectionAllowed="1" showAll="0">
      <items>
        <item x="0"/>
        <item x="1"/>
        <item x="2"/>
        <item x="3"/>
        <item x="4"/>
        <item x="5"/>
        <item x="6"/>
        <item x="7"/>
        <item x="8"/>
        <item t="default"/>
      </items>
    </pivotField>
    <pivotField name="פירוט לגבי שלמות התשובה" compact="0" outline="0" multipleItemSelectionAllowed="1" showAll="0">
      <items>
        <item x="0"/>
        <item x="1"/>
        <item x="2"/>
        <item x="3"/>
        <item x="4"/>
        <item x="5"/>
        <item x="6"/>
        <item x="7"/>
        <item x="8"/>
        <item x="9"/>
        <item x="10"/>
        <item x="11"/>
        <item x="12"/>
        <item x="13"/>
        <item x="14"/>
        <item t="default"/>
      </items>
    </pivotField>
    <pivotField name="  עד כמה המסמכים שהמודל הביא רלוונטיים לשאלה?  " compact="0" outline="0" multipleItemSelectionAllowed="1" showAll="0">
      <items>
        <item x="0"/>
        <item x="1"/>
        <item x="2"/>
        <item x="3"/>
        <item x="4"/>
        <item x="5"/>
        <item x="6"/>
        <item x="7"/>
        <item x="8"/>
        <item t="default"/>
      </items>
    </pivotField>
    <pivotField name="  פירוט לגבי רלוונטיות המקורות  " compact="0" outline="0" multipleItemSelectionAllowed="1" showAll="0">
      <items>
        <item x="0"/>
        <item x="1"/>
        <item x="2"/>
        <item x="3"/>
        <item x="4"/>
        <item x="5"/>
        <item x="6"/>
        <item x="7"/>
        <item x="8"/>
        <item x="9"/>
        <item x="10"/>
        <item x="11"/>
        <item t="default"/>
      </items>
    </pivotField>
    <pivotField name="  רלוונטיות ובהירות התשובה  " compact="0" outline="0" multipleItemSelectionAllowed="1" showAll="0">
      <items>
        <item x="0"/>
        <item x="1"/>
        <item x="2"/>
        <item x="3"/>
        <item x="4"/>
        <item x="5"/>
        <item x="6"/>
        <item x="7"/>
        <item x="8"/>
        <item t="default"/>
      </items>
    </pivotField>
    <pivotField name="  פירוט לגבי רלוונטיות ובהירות  " compact="0" outline="0" multipleItemSelectionAllowed="1" showAll="0">
      <items>
        <item x="0"/>
        <item x="1"/>
        <item x="2"/>
        <item x="3"/>
        <item x="4"/>
        <item x="5"/>
        <item x="6"/>
        <item x="7"/>
        <item x="8"/>
        <item x="9"/>
        <item t="default"/>
      </items>
    </pivotField>
    <pivotField name="  עד כמה התשובה מאפשרת למפקח להסתמך עליה במינימום מאמץ?  " compact="0" outline="0" multipleItemSelectionAllowed="1" showAll="0">
      <items>
        <item x="0"/>
        <item x="1"/>
        <item x="2"/>
        <item x="3"/>
        <item x="4"/>
        <item x="5"/>
        <item x="6"/>
        <item x="7"/>
        <item x="8"/>
        <item t="default"/>
      </items>
    </pivotField>
    <pivotField name="  פירוט לגבי יעילות ויכולת הסתמכות  " compact="0" outline="0" multipleItemSelectionAllowed="1" showAll="0">
      <items>
        <item x="0"/>
        <item x="1"/>
        <item x="2"/>
        <item x="3"/>
        <item x="4"/>
        <item x="5"/>
        <item x="6"/>
        <item x="7"/>
        <item x="8"/>
        <item t="default"/>
      </items>
    </pivotField>
    <pivotField name="  הערות כלליות של הבודק  " compact="0" outline="0" multipleItemSelectionAllowed="1" showAll="0">
      <items>
        <item x="0"/>
        <item x="1"/>
        <item x="2"/>
        <item x="3"/>
        <item x="4"/>
        <item t="default"/>
      </items>
    </pivotField>
    <pivotField name="  עד כמה התשובה מדויקת?  2" compact="0" outline="0" multipleItemSelectionAllowed="1" showAll="0">
      <items>
        <item x="0"/>
        <item t="default"/>
      </items>
    </pivotField>
    <pivotField name="  פירוט לגבי הדיוק  2" compact="0" outline="0" multipleItemSelectionAllowed="1" showAll="0">
      <items>
        <item x="0"/>
        <item t="default"/>
      </items>
    </pivotField>
    <pivotField name="  עד כמה התשובה שלמה?  2" compact="0" outline="0" multipleItemSelectionAllowed="1" showAll="0">
      <items>
        <item x="0"/>
        <item t="default"/>
      </items>
    </pivotField>
    <pivotField name="פירוט לגבי שלמות התשובה2" compact="0" outline="0" multipleItemSelectionAllowed="1" showAll="0">
      <items>
        <item x="0"/>
        <item t="default"/>
      </items>
    </pivotField>
    <pivotField name="  עד כמה המסמכים שהמודל הביא רלוונטיים לשאלה?  2" compact="0" outline="0" multipleItemSelectionAllowed="1" showAll="0">
      <items>
        <item x="0"/>
        <item t="default"/>
      </items>
    </pivotField>
    <pivotField name="  פירוט לגבי רלוונטיות המקורות  2" compact="0" outline="0" multipleItemSelectionAllowed="1" showAll="0">
      <items>
        <item x="0"/>
        <item t="default"/>
      </items>
    </pivotField>
    <pivotField name="  רלוונטיות ובהירות התשובה  2" compact="0" outline="0" multipleItemSelectionAllowed="1" showAll="0">
      <items>
        <item x="0"/>
        <item t="default"/>
      </items>
    </pivotField>
    <pivotField name="  פירוט לגבי רלוונטיות ובהירות  2" compact="0" outline="0" multipleItemSelectionAllowed="1" showAll="0">
      <items>
        <item x="0"/>
        <item t="default"/>
      </items>
    </pivotField>
    <pivotField name="  עד כמה התשובה מאפשרת למפקח להסתמך עליה במינימום מאמץ?  2" compact="0" outline="0" multipleItemSelectionAllowed="1" showAll="0">
      <items>
        <item x="0"/>
        <item t="default"/>
      </items>
    </pivotField>
    <pivotField name="  פירוט לגבי יעילות ויכולת הסתמכות  2" compact="0" outline="0" multipleItemSelectionAllowed="1" showAll="0">
      <items>
        <item x="0"/>
        <item t="default"/>
      </items>
    </pivotField>
    <pivotField name="  הערות כלליות של הבודק  2" compact="0" outline="0" multipleItemSelectionAllowed="1" showAll="0">
      <items>
        <item x="0"/>
        <item t="default"/>
      </items>
    </pivotField>
    <pivotField name="האם התשובה נכונה? 2" compact="0" outline="0" multipleItemSelectionAllowed="1" showAll="0">
      <items>
        <item x="0"/>
        <item t="default"/>
      </items>
    </pivotField>
    <pivotField name="  עד כמה התשובה מדויקת?  3" compact="0" outline="0" multipleItemSelectionAllowed="1" showAll="0">
      <items>
        <item x="0"/>
        <item t="default"/>
      </items>
    </pivotField>
    <pivotField name="  פירוט לגבי הדיוק  3" compact="0" outline="0" multipleItemSelectionAllowed="1" showAll="0">
      <items>
        <item x="0"/>
        <item t="default"/>
      </items>
    </pivotField>
    <pivotField name="  עד כמה התשובה שלמה?  3" compact="0" outline="0" multipleItemSelectionAllowed="1" showAll="0">
      <items>
        <item x="0"/>
        <item t="default"/>
      </items>
    </pivotField>
    <pivotField name="פירוט לגבי שלמות התשובה3" compact="0" outline="0" multipleItemSelectionAllowed="1" showAll="0">
      <items>
        <item x="0"/>
        <item t="default"/>
      </items>
    </pivotField>
    <pivotField name="  עד כמה המסמכים שהמודל הביא רלוונטיים לשאלה?  3" compact="0" outline="0" multipleItemSelectionAllowed="1" showAll="0">
      <items>
        <item x="0"/>
        <item t="default"/>
      </items>
    </pivotField>
    <pivotField name="  פירוט לגבי רלוונטיות המקורות  3" compact="0" outline="0" multipleItemSelectionAllowed="1" showAll="0">
      <items>
        <item x="0"/>
        <item t="default"/>
      </items>
    </pivotField>
    <pivotField name="  רלוונטיות ובהירות התשובה  3" compact="0" outline="0" multipleItemSelectionAllowed="1" showAll="0">
      <items>
        <item x="0"/>
        <item t="default"/>
      </items>
    </pivotField>
    <pivotField name="  פירוט לגבי רלוונטיות ובהירות  3" compact="0" outline="0" multipleItemSelectionAllowed="1" showAll="0">
      <items>
        <item x="0"/>
        <item t="default"/>
      </items>
    </pivotField>
    <pivotField name="  עד כמה התשובה מאפשרת למפקח להסתמך עליה במינימום מאמץ?  3" compact="0" outline="0" multipleItemSelectionAllowed="1" showAll="0">
      <items>
        <item x="0"/>
        <item t="default"/>
      </items>
    </pivotField>
    <pivotField name="  פירוט לגבי יעילות ויכולת הסתמכות  3" compact="0" outline="0" multipleItemSelectionAllowed="1" showAll="0">
      <items>
        <item x="0"/>
        <item t="default"/>
      </items>
    </pivotField>
    <pivotField name="  הערות כלליות של הבודק  3" compact="0" outline="0" multipleItemSelectionAllowed="1" showAll="0">
      <items>
        <item x="0"/>
        <item t="default"/>
      </items>
    </pivotField>
    <pivotField name="האם התשובה נכונה? 3" compact="0" outline="0" multipleItemSelectionAllowed="1" showAll="0">
      <items>
        <item x="0"/>
        <item t="default"/>
      </items>
    </pivotField>
    <pivotField name="  עד כמה התשובה מדויקת?  4" compact="0" outline="0" multipleItemSelectionAllowed="1" showAll="0">
      <items>
        <item x="0"/>
        <item t="default"/>
      </items>
    </pivotField>
    <pivotField name="  פירוט לגבי הדיוק  4" compact="0" outline="0" multipleItemSelectionAllowed="1" showAll="0">
      <items>
        <item x="0"/>
        <item t="default"/>
      </items>
    </pivotField>
    <pivotField name="  עד כמה התשובה שלמה?  4" compact="0" outline="0" multipleItemSelectionAllowed="1" showAll="0">
      <items>
        <item x="0"/>
        <item t="default"/>
      </items>
    </pivotField>
    <pivotField name="פירוט לגבי שלמות התשובה4" compact="0" outline="0" multipleItemSelectionAllowed="1" showAll="0">
      <items>
        <item x="0"/>
        <item t="default"/>
      </items>
    </pivotField>
    <pivotField name="  עד כמה המסמכים שהמודל הביא רלוונטיים לשאלה?  4" compact="0" outline="0" multipleItemSelectionAllowed="1" showAll="0">
      <items>
        <item x="0"/>
        <item t="default"/>
      </items>
    </pivotField>
    <pivotField name="  פירוט לגבי רלוונטיות המקורות  4" compact="0" outline="0" multipleItemSelectionAllowed="1" showAll="0">
      <items>
        <item x="0"/>
        <item t="default"/>
      </items>
    </pivotField>
    <pivotField name="  רלוונטיות ובהירות התשובה  4" compact="0" outline="0" multipleItemSelectionAllowed="1" showAll="0">
      <items>
        <item x="0"/>
        <item t="default"/>
      </items>
    </pivotField>
    <pivotField name="  פירוט לגבי רלוונטיות ובהירות  4" compact="0" outline="0" multipleItemSelectionAllowed="1" showAll="0">
      <items>
        <item x="0"/>
        <item t="default"/>
      </items>
    </pivotField>
    <pivotField name="  עד כמה התשובה מאפשרת למפקח להסתמך עליה במינימום מאמץ?  4" compact="0" outline="0" multipleItemSelectionAllowed="1" showAll="0">
      <items>
        <item x="0"/>
        <item t="default"/>
      </items>
    </pivotField>
    <pivotField name="  פירוט לגבי יעילות ויכולת הסתמכות  4" compact="0" outline="0" multipleItemSelectionAllowed="1" showAll="0">
      <items>
        <item x="0"/>
        <item t="default"/>
      </items>
    </pivotField>
    <pivotField name="  הערות כלליות של הבודק  4" compact="0" outline="0" multipleItemSelectionAllowed="1" showAll="0">
      <items>
        <item x="0"/>
        <item t="default"/>
      </items>
    </pivotField>
    <pivotField name="האם התשובה נכונה? 4" compact="0" outline="0" multipleItemSelectionAllowed="1" showAll="0">
      <items>
        <item x="0"/>
        <item t="default"/>
      </items>
    </pivotField>
    <pivotField name="  עד כמה התשובה מדויקת?  5" compact="0" outline="0" multipleItemSelectionAllowed="1" showAll="0">
      <items>
        <item x="0"/>
        <item t="default"/>
      </items>
    </pivotField>
    <pivotField name="  פירוט לגבי הדיוק  5" compact="0" outline="0" multipleItemSelectionAllowed="1" showAll="0">
      <items>
        <item x="0"/>
        <item t="default"/>
      </items>
    </pivotField>
    <pivotField name="  עד כמה התשובה שלמה?  5" compact="0" outline="0" multipleItemSelectionAllowed="1" showAll="0">
      <items>
        <item x="0"/>
        <item t="default"/>
      </items>
    </pivotField>
    <pivotField name="פירוט לגבי שלמות התשובה5" compact="0" outline="0" multipleItemSelectionAllowed="1" showAll="0">
      <items>
        <item x="0"/>
        <item t="default"/>
      </items>
    </pivotField>
    <pivotField name="  עד כמה המסמכים שהמודל הביא רלוונטיים לשאלה?  5" compact="0" outline="0" multipleItemSelectionAllowed="1" showAll="0">
      <items>
        <item x="0"/>
        <item t="default"/>
      </items>
    </pivotField>
    <pivotField name="  פירוט לגבי רלוונטיות המקורות  5" compact="0" outline="0" multipleItemSelectionAllowed="1" showAll="0">
      <items>
        <item x="0"/>
        <item t="default"/>
      </items>
    </pivotField>
    <pivotField name="  רלוונטיות ובהירות התשובה  5" compact="0" outline="0" multipleItemSelectionAllowed="1" showAll="0">
      <items>
        <item x="0"/>
        <item t="default"/>
      </items>
    </pivotField>
    <pivotField name="  פירוט לגבי רלוונטיות ובהירות  5" compact="0" outline="0" multipleItemSelectionAllowed="1" showAll="0">
      <items>
        <item x="0"/>
        <item t="default"/>
      </items>
    </pivotField>
    <pivotField name="  עד כמה התשובה מאפשרת למפקח להסתמך עליה במינימום מאמץ?  5" compact="0" outline="0" multipleItemSelectionAllowed="1" showAll="0">
      <items>
        <item x="0"/>
        <item t="default"/>
      </items>
    </pivotField>
    <pivotField name="  פירוט לגבי יעילות ויכולת הסתמכות  5" compact="0" outline="0" multipleItemSelectionAllowed="1" showAll="0">
      <items>
        <item x="0"/>
        <item t="default"/>
      </items>
    </pivotField>
    <pivotField name="  הערות כלליות של הבודק  5" compact="0" outline="0" multipleItemSelectionAllowed="1" showAll="0">
      <items>
        <item x="0"/>
        <item t="default"/>
      </items>
    </pivotField>
    <pivotField name="האם התשובה נכונה? 5" compact="0" outline="0" multipleItemSelectionAllowed="1" showAll="0">
      <items>
        <item x="0"/>
        <item t="default"/>
      </items>
    </pivotField>
  </pivotFields>
  <rowFields>
    <field x="2"/>
  </rowFields>
  <colFields>
    <field x="7"/>
  </colFields>
  <dataFields>
    <dataField name="COUNTA of ID" fld="0" subtotal="count" baseField="0"/>
  </dataFields>
</pivotTableDefinition>
</file>

<file path=xl/tables/table1.xml><?xml version="1.0" encoding="utf-8"?>
<table xmlns="http://schemas.openxmlformats.org/spreadsheetml/2006/main" headerRowCount="0" ref="A1:BI1" displayName="Table_1" name="Table_1" id="1">
  <tableColumns count="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s>
  <tableStyleInfo name="תגובות לטופס 10 עופר-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BI2" displayName="Table_2" name="Table_2" id="2">
  <tableColumns count="61">
    <tableColumn name="חותמת זמן" id="1"/>
    <tableColumn name="האם התשובה נכונה? " id="2"/>
    <tableColumn name="  עד כמה התשובה מדויקת?  " id="3"/>
    <tableColumn name="  פירוט לגבי הדיוק  " id="4"/>
    <tableColumn name="  עד כמה התשובה שלמה?  " id="5"/>
    <tableColumn name="פירוט לגבי שלמות התשובה" id="6"/>
    <tableColumn name="  עד כמה המסמכים שהמודל הביא רלוונטיים לשאלה?  " id="7"/>
    <tableColumn name="  פירוט לגבי רלוונטיות המקורות  " id="8"/>
    <tableColumn name="  רלוונטיות ובהירות התשובה  " id="9"/>
    <tableColumn name="  פירוט לגבי רלוונטיות ובהירות  " id="10"/>
    <tableColumn name="  עד כמה התשובה מאפשרת למפקח להסתמך עליה במינימום מאמץ?  " id="11"/>
    <tableColumn name="  פירוט לגבי יעילות ויכולת הסתמכות  " id="12"/>
    <tableColumn name="  הערות כלליות של הבודק  " id="13"/>
    <tableColumn name="האם התשובה נכונה?  2" id="14"/>
    <tableColumn name="  עד כמה התשובה מדויקת?   2" id="15"/>
    <tableColumn name="  פירוט לגבי הדיוק   2" id="16"/>
    <tableColumn name="  עד כמה התשובה שלמה?   2" id="17"/>
    <tableColumn name="פירוט לגבי שלמות התשובה 2" id="18"/>
    <tableColumn name="  עד כמה המסמכים שהמודל הביא רלוונטיים לשאלה?   2" id="19"/>
    <tableColumn name="  פירוט לגבי רלוונטיות המקורות   2" id="20"/>
    <tableColumn name="  רלוונטיות ובהירות התשובה   2" id="21"/>
    <tableColumn name="  פירוט לגבי רלוונטיות ובהירות   2" id="22"/>
    <tableColumn name="  עד כמה התשובה מאפשרת למפקח להסתמך עליה במינימום מאמץ?   2" id="23"/>
    <tableColumn name="  פירוט לגבי יעילות ויכולת הסתמכות   2" id="24"/>
    <tableColumn name="  הערות כלליות של הבודק   2" id="25"/>
    <tableColumn name="האם התשובה נכונה?  3" id="26"/>
    <tableColumn name="  עד כמה התשובה מדויקת?   3" id="27"/>
    <tableColumn name="  פירוט לגבי הדיוק   3" id="28"/>
    <tableColumn name="  עד כמה התשובה שלמה?   3" id="29"/>
    <tableColumn name="פירוט לגבי שלמות התשובה 3" id="30"/>
    <tableColumn name="  עד כמה המסמכים שהמודל הביא רלוונטיים לשאלה?   3" id="31"/>
    <tableColumn name="  פירוט לגבי רלוונטיות המקורות   3" id="32"/>
    <tableColumn name="  רלוונטיות ובהירות התשובה   3" id="33"/>
    <tableColumn name="  פירוט לגבי רלוונטיות ובהירות   3" id="34"/>
    <tableColumn name="  עד כמה התשובה מאפשרת למפקח להסתמך עליה במינימום מאמץ?   3" id="35"/>
    <tableColumn name="  פירוט לגבי יעילות ויכולת הסתמכות   3" id="36"/>
    <tableColumn name="  הערות כלליות של הבודק   3" id="37"/>
    <tableColumn name="האם התשובה נכונה?  4" id="38"/>
    <tableColumn name="  עד כמה התשובה מדויקת?   4" id="39"/>
    <tableColumn name="  פירוט לגבי הדיוק   4" id="40"/>
    <tableColumn name="  עד כמה התשובה שלמה?   4" id="41"/>
    <tableColumn name="פירוט לגבי שלמות התשובה 4" id="42"/>
    <tableColumn name="  עד כמה המסמכים שהמודל הביא רלוונטיים לשאלה?   4" id="43"/>
    <tableColumn name="  פירוט לגבי רלוונטיות המקורות   4" id="44"/>
    <tableColumn name="  רלוונטיות ובהירות התשובה   4" id="45"/>
    <tableColumn name="  פירוט לגבי רלוונטיות ובהירות   4" id="46"/>
    <tableColumn name="  עד כמה התשובה מאפשרת למפקח להסתמך עליה במינימום מאמץ?   4" id="47"/>
    <tableColumn name="  פירוט לגבי יעילות ויכולת הסתמכות   4" id="48"/>
    <tableColumn name="  הערות כלליות של הבודק   4" id="49"/>
    <tableColumn name="האם התשובה נכונה?  5" id="50"/>
    <tableColumn name="  עד כמה התשובה מדויקת?   5" id="51"/>
    <tableColumn name="  פירוט לגבי הדיוק   5" id="52"/>
    <tableColumn name="  עד כמה התשובה שלמה?   5" id="53"/>
    <tableColumn name="פירוט לגבי שלמות התשובה 5" id="54"/>
    <tableColumn name="  עד כמה המסמכים שהמודל הביא רלוונטיים לשאלה?   5" id="55"/>
    <tableColumn name="  פירוט לגבי רלוונטיות המקורות   5" id="56"/>
    <tableColumn name="  רלוונטיות ובהירות התשובה   5" id="57"/>
    <tableColumn name="  פירוט לגבי רלוונטיות ובהירות   5" id="58"/>
    <tableColumn name="  עד כמה התשובה מאפשרת למפקח להסתמך עליה במינימום מאמץ?   5" id="59"/>
    <tableColumn name="  פירוט לגבי יעילות ויכולת הסתמכות   5" id="60"/>
    <tableColumn name="  הערות כלליות של הבודק   5" id="61"/>
  </tableColumns>
  <tableStyleInfo name="תגובות לטופס 9 רוני-style" showColumnStripes="0" showFirstColumn="1" showLastColumn="1" showRowStripes="1"/>
</table>
</file>

<file path=xl/tables/table3.xml><?xml version="1.0" encoding="utf-8"?>
<table xmlns="http://schemas.openxmlformats.org/spreadsheetml/2006/main" ref="A1:BI2" displayName="Table_3" name="Table_3" id="3">
  <tableColumns count="61">
    <tableColumn name="חותמת זמן" id="1"/>
    <tableColumn name="האם התשובה נכונה? " id="2"/>
    <tableColumn name="  עד כמה התשובה מדויקת?  " id="3"/>
    <tableColumn name="  פירוט לגבי הדיוק  " id="4"/>
    <tableColumn name="  עד כמה התשובה שלמה?  " id="5"/>
    <tableColumn name="פירוט לגבי שלמות התשובה" id="6"/>
    <tableColumn name="  עד כמה המסמכים שהמודל הביא רלוונטיים לשאלה?  " id="7"/>
    <tableColumn name="  פירוט לגבי רלוונטיות המקורות  " id="8"/>
    <tableColumn name="  רלוונטיות ובהירות התשובה  " id="9"/>
    <tableColumn name="  פירוט לגבי רלוונטיות ובהירות  " id="10"/>
    <tableColumn name="  עד כמה התשובה מאפשרת למפקח להסתמך עליה במינימום מאמץ?  " id="11"/>
    <tableColumn name="  פירוט לגבי יעילות ויכולת הסתמכות  " id="12"/>
    <tableColumn name="  הערות כלליות של הבודק  " id="13"/>
    <tableColumn name="האם התשובה נכונה?  2" id="14"/>
    <tableColumn name="  עד כמה התשובה מדויקת?   2" id="15"/>
    <tableColumn name="  פירוט לגבי הדיוק   2" id="16"/>
    <tableColumn name="  עד כמה התשובה שלמה?   2" id="17"/>
    <tableColumn name="פירוט לגבי שלמות התשובה 2" id="18"/>
    <tableColumn name="  עד כמה המסמכים שהמודל הביא רלוונטיים לשאלה?   2" id="19"/>
    <tableColumn name="  פירוט לגבי רלוונטיות המקורות   2" id="20"/>
    <tableColumn name="  רלוונטיות ובהירות התשובה   2" id="21"/>
    <tableColumn name="  פירוט לגבי רלוונטיות ובהירות   2" id="22"/>
    <tableColumn name="  עד כמה התשובה מאפשרת למפקח להסתמך עליה במינימום מאמץ?   2" id="23"/>
    <tableColumn name="  פירוט לגבי יעילות ויכולת הסתמכות   2" id="24"/>
    <tableColumn name="  הערות כלליות של הבודק   2" id="25"/>
    <tableColumn name="האם התשובה נכונה?  3" id="26"/>
    <tableColumn name="  עד כמה התשובה מדויקת?   3" id="27"/>
    <tableColumn name="  פירוט לגבי הדיוק   3" id="28"/>
    <tableColumn name="  עד כמה התשובה שלמה?   3" id="29"/>
    <tableColumn name="פירוט לגבי שלמות התשובה 3" id="30"/>
    <tableColumn name="  עד כמה המסמכים שהמודל הביא רלוונטיים לשאלה?   3" id="31"/>
    <tableColumn name="  פירוט לגבי רלוונטיות המקורות   3" id="32"/>
    <tableColumn name="  רלוונטיות ובהירות התשובה   3" id="33"/>
    <tableColumn name="  פירוט לגבי רלוונטיות ובהירות   3" id="34"/>
    <tableColumn name="  עד כמה התשובה מאפשרת למפקח להסתמך עליה במינימום מאמץ?   3" id="35"/>
    <tableColumn name="  פירוט לגבי יעילות ויכולת הסתמכות   3" id="36"/>
    <tableColumn name="  הערות כלליות של הבודק   3" id="37"/>
    <tableColumn name="האם התשובה נכונה?  4" id="38"/>
    <tableColumn name="  עד כמה התשובה מדויקת?   4" id="39"/>
    <tableColumn name="  פירוט לגבי הדיוק   4" id="40"/>
    <tableColumn name="  עד כמה התשובה שלמה?   4" id="41"/>
    <tableColumn name="פירוט לגבי שלמות התשובה 4" id="42"/>
    <tableColumn name="  עד כמה המסמכים שהמודל הביא רלוונטיים לשאלה?   4" id="43"/>
    <tableColumn name="  פירוט לגבי רלוונטיות המקורות   4" id="44"/>
    <tableColumn name="  רלוונטיות ובהירות התשובה   4" id="45"/>
    <tableColumn name="  פירוט לגבי רלוונטיות ובהירות   4" id="46"/>
    <tableColumn name="  עד כמה התשובה מאפשרת למפקח להסתמך עליה במינימום מאמץ?   4" id="47"/>
    <tableColumn name="  פירוט לגבי יעילות ויכולת הסתמכות   4" id="48"/>
    <tableColumn name="  הערות כלליות של הבודק   4" id="49"/>
    <tableColumn name="האם התשובה נכונה?  5" id="50"/>
    <tableColumn name="  עד כמה התשובה מדויקת?   5" id="51"/>
    <tableColumn name="  פירוט לגבי הדיוק   5" id="52"/>
    <tableColumn name="  עד כמה התשובה שלמה?   5" id="53"/>
    <tableColumn name="פירוט לגבי שלמות התשובה 5" id="54"/>
    <tableColumn name="  עד כמה המסמכים שהמודל הביא רלוונטיים לשאלה?   5" id="55"/>
    <tableColumn name="  פירוט לגבי רלוונטיות המקורות   5" id="56"/>
    <tableColumn name="  רלוונטיות ובהירות התשובה   5" id="57"/>
    <tableColumn name="  פירוט לגבי רלוונטיות ובהירות   5" id="58"/>
    <tableColumn name="  עד כמה התשובה מאפשרת למפקח להסתמך עליה במינימום מאמץ?   5" id="59"/>
    <tableColumn name="  פירוט לגבי יעילות ויכולת הסתמכות   5" id="60"/>
    <tableColumn name="  הערות כלליות של הבודק   5" id="61"/>
  </tableColumns>
  <tableStyleInfo name="תגובות לטופס 8 מיכאל-style" showColumnStripes="0" showFirstColumn="1" showLastColumn="1" showRowStripes="1"/>
</table>
</file>

<file path=xl/tables/table4.xml><?xml version="1.0" encoding="utf-8"?>
<table xmlns="http://schemas.openxmlformats.org/spreadsheetml/2006/main" headerRowCount="0" ref="A1:BI1" displayName="Table_4" name="Table_4" id="4">
  <tableColumns count="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s>
  <tableStyleInfo name="תגובות לטופס 7 קורל-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BI2" displayName="Table_5" name="Table_5" id="5">
  <tableColumns count="61">
    <tableColumn name="חותמת זמן" id="1"/>
    <tableColumn name="האם התשובה נכונה? " id="2"/>
    <tableColumn name="  עד כמה התשובה מדויקת?  " id="3"/>
    <tableColumn name="  פירוט לגבי הדיוק  " id="4"/>
    <tableColumn name="  עד כמה התשובה שלמה?  " id="5"/>
    <tableColumn name="פירוט לגבי שלמות התשובה" id="6"/>
    <tableColumn name="  עד כמה המסמכים שהמודל הביא רלוונטיים לשאלה?  " id="7"/>
    <tableColumn name="  פירוט לגבי רלוונטיות המקורות  " id="8"/>
    <tableColumn name="  רלוונטיות ובהירות התשובה  " id="9"/>
    <tableColumn name="  פירוט לגבי רלוונטיות ובהירות  " id="10"/>
    <tableColumn name="  עד כמה התשובה מאפשרת למפקח להסתמך עליה במינימום מאמץ?  " id="11"/>
    <tableColumn name="  פירוט לגבי יעילות ויכולת הסתמכות  " id="12"/>
    <tableColumn name="  הערות כלליות של הבודק  " id="13"/>
    <tableColumn name="האם התשובה נכונה?  2" id="14"/>
    <tableColumn name="  עד כמה התשובה מדויקת?   2" id="15"/>
    <tableColumn name="  פירוט לגבי הדיוק   2" id="16"/>
    <tableColumn name="  עד כמה התשובה שלמה?   2" id="17"/>
    <tableColumn name="פירוט לגבי שלמות התשובה 2" id="18"/>
    <tableColumn name="  עד כמה המסמכים שהמודל הביא רלוונטיים לשאלה?   2" id="19"/>
    <tableColumn name="  פירוט לגבי רלוונטיות המקורות   2" id="20"/>
    <tableColumn name="  רלוונטיות ובהירות התשובה   2" id="21"/>
    <tableColumn name="  פירוט לגבי רלוונטיות ובהירות   2" id="22"/>
    <tableColumn name="  עד כמה התשובה מאפשרת למפקח להסתמך עליה במינימום מאמץ?   2" id="23"/>
    <tableColumn name="  פירוט לגבי יעילות ויכולת הסתמכות   2" id="24"/>
    <tableColumn name="  הערות כלליות של הבודק   2" id="25"/>
    <tableColumn name="האם התשובה נכונה?  3" id="26"/>
    <tableColumn name="  עד כמה התשובה מדויקת?   3" id="27"/>
    <tableColumn name="  פירוט לגבי הדיוק   3" id="28"/>
    <tableColumn name="  עד כמה התשובה שלמה?   3" id="29"/>
    <tableColumn name="פירוט לגבי שלמות התשובה 3" id="30"/>
    <tableColumn name="  עד כמה המסמכים שהמודל הביא רלוונטיים לשאלה?   3" id="31"/>
    <tableColumn name="  פירוט לגבי רלוונטיות המקורות   3" id="32"/>
    <tableColumn name="  רלוונטיות ובהירות התשובה   3" id="33"/>
    <tableColumn name="  פירוט לגבי רלוונטיות ובהירות   3" id="34"/>
    <tableColumn name="  עד כמה התשובה מאפשרת למפקח להסתמך עליה במינימום מאמץ?   3" id="35"/>
    <tableColumn name="  פירוט לגבי יעילות ויכולת הסתמכות   3" id="36"/>
    <tableColumn name="  הערות כלליות של הבודק   3" id="37"/>
    <tableColumn name="האם התשובה נכונה?  4" id="38"/>
    <tableColumn name="  עד כמה התשובה מדויקת?   4" id="39"/>
    <tableColumn name="  פירוט לגבי הדיוק   4" id="40"/>
    <tableColumn name="  עד כמה התשובה שלמה?   4" id="41"/>
    <tableColumn name="פירוט לגבי שלמות התשובה 4" id="42"/>
    <tableColumn name="  עד כמה המסמכים שהמודל הביא רלוונטיים לשאלה?   4" id="43"/>
    <tableColumn name="  פירוט לגבי רלוונטיות המקורות   4" id="44"/>
    <tableColumn name="  רלוונטיות ובהירות התשובה   4" id="45"/>
    <tableColumn name="  פירוט לגבי רלוונטיות ובהירות   4" id="46"/>
    <tableColumn name="  עד כמה התשובה מאפשרת למפקח להסתמך עליה במינימום מאמץ?   4" id="47"/>
    <tableColumn name="  פירוט לגבי יעילות ויכולת הסתמכות   4" id="48"/>
    <tableColumn name="  הערות כלליות של הבודק   4" id="49"/>
    <tableColumn name="האם התשובה נכונה?  5" id="50"/>
    <tableColumn name="  עד כמה התשובה מדויקת?   5" id="51"/>
    <tableColumn name="  פירוט לגבי הדיוק   5" id="52"/>
    <tableColumn name="  עד כמה התשובה שלמה?   5" id="53"/>
    <tableColumn name="פירוט לגבי שלמות התשובה 5" id="54"/>
    <tableColumn name="  עד כמה המסמכים שהמודל הביא רלוונטיים לשאלה?   5" id="55"/>
    <tableColumn name="  פירוט לגבי רלוונטיות המקורות   5" id="56"/>
    <tableColumn name="  רלוונטיות ובהירות התשובה   5" id="57"/>
    <tableColumn name="  פירוט לגבי רלוונטיות ובהירות   5" id="58"/>
    <tableColumn name="  עד כמה התשובה מאפשרת למפקח להסתמך עליה במינימום מאמץ?   5" id="59"/>
    <tableColumn name="  פירוט לגבי יעילות ויכולת הסתמכות   5" id="60"/>
    <tableColumn name="  הערות כלליות של הבודק   5" id="61"/>
  </tableColumns>
  <tableStyleInfo name="תגובות לטופס 6 תום-style" showColumnStripes="0" showFirstColumn="1" showLastColumn="1" showRowStripes="1"/>
</table>
</file>

<file path=xl/tables/table6.xml><?xml version="1.0" encoding="utf-8"?>
<table xmlns="http://schemas.openxmlformats.org/spreadsheetml/2006/main" headerRowCount="0" ref="A1:BI1" displayName="Table_6" name="Table_6" id="6">
  <tableColumns count="6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s>
  <tableStyleInfo name="תגובות לטופס 5 ינון תתר-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ref="A1:BI3" displayName="Table_7" name="Table_7" id="7">
  <tableColumns count="61">
    <tableColumn name="חותמת זמן" id="1"/>
    <tableColumn name="האם התשובה נכונה? " id="2"/>
    <tableColumn name="  עד כמה התשובה מדויקת?  " id="3"/>
    <tableColumn name="  פירוט לגבי הדיוק  " id="4"/>
    <tableColumn name="  עד כמה התשובה שלמה?  " id="5"/>
    <tableColumn name="פירוט לגבי שלמות התשובה" id="6"/>
    <tableColumn name="  עד כמה המסמכים שהמודל הביא רלוונטיים לשאלה?  " id="7"/>
    <tableColumn name="  פירוט לגבי רלוונטיות המקורות  " id="8"/>
    <tableColumn name="  רלוונטיות ובהירות התשובה  " id="9"/>
    <tableColumn name="  פירוט לגבי רלוונטיות ובהירות  " id="10"/>
    <tableColumn name="  עד כמה התשובה מאפשרת למפקח להסתמך עליה במינימום מאמץ?  " id="11"/>
    <tableColumn name="  פירוט לגבי יעילות ויכולת הסתמכות  " id="12"/>
    <tableColumn name="  הערות כלליות של הבודק  " id="13"/>
    <tableColumn name="האם התשובה נכונה?  2" id="14"/>
    <tableColumn name="  עד כמה התשובה מדויקת?   2" id="15"/>
    <tableColumn name="  פירוט לגבי הדיוק   2" id="16"/>
    <tableColumn name="  עד כמה התשובה שלמה?   2" id="17"/>
    <tableColumn name="פירוט לגבי שלמות התשובה 2" id="18"/>
    <tableColumn name="  עד כמה המסמכים שהמודל הביא רלוונטיים לשאלה?   2" id="19"/>
    <tableColumn name="  פירוט לגבי רלוונטיות המקורות   2" id="20"/>
    <tableColumn name="  רלוונטיות ובהירות התשובה   2" id="21"/>
    <tableColumn name="  פירוט לגבי רלוונטיות ובהירות   2" id="22"/>
    <tableColumn name="  עד כמה התשובה מאפשרת למפקח להסתמך עליה במינימום מאמץ?   2" id="23"/>
    <tableColumn name="  פירוט לגבי יעילות ויכולת הסתמכות   2" id="24"/>
    <tableColumn name="  הערות כלליות של הבודק   2" id="25"/>
    <tableColumn name="האם התשובה נכונה?  3" id="26"/>
    <tableColumn name="  עד כמה התשובה מדויקת?   3" id="27"/>
    <tableColumn name="  פירוט לגבי הדיוק   3" id="28"/>
    <tableColumn name="  עד כמה התשובה שלמה?   3" id="29"/>
    <tableColumn name="פירוט לגבי שלמות התשובה 3" id="30"/>
    <tableColumn name="  עד כמה המסמכים שהמודל הביא רלוונטיים לשאלה?   3" id="31"/>
    <tableColumn name="  פירוט לגבי רלוונטיות המקורות   3" id="32"/>
    <tableColumn name="  רלוונטיות ובהירות התשובה   3" id="33"/>
    <tableColumn name="  פירוט לגבי רלוונטיות ובהירות   3" id="34"/>
    <tableColumn name="  עד כמה התשובה מאפשרת למפקח להסתמך עליה במינימום מאמץ?   3" id="35"/>
    <tableColumn name="  פירוט לגבי יעילות ויכולת הסתמכות   3" id="36"/>
    <tableColumn name="  הערות כלליות של הבודק   3" id="37"/>
    <tableColumn name="האם התשובה נכונה?  4" id="38"/>
    <tableColumn name="  עד כמה התשובה מדויקת?   4" id="39"/>
    <tableColumn name="  פירוט לגבי הדיוק   4" id="40"/>
    <tableColumn name="  עד כמה התשובה שלמה?   4" id="41"/>
    <tableColumn name="פירוט לגבי שלמות התשובה 4" id="42"/>
    <tableColumn name="  עד כמה המסמכים שהמודל הביא רלוונטיים לשאלה?   4" id="43"/>
    <tableColumn name="  פירוט לגבי רלוונטיות המקורות   4" id="44"/>
    <tableColumn name="  רלוונטיות ובהירות התשובה   4" id="45"/>
    <tableColumn name="  פירוט לגבי רלוונטיות ובהירות   4" id="46"/>
    <tableColumn name="  עד כמה התשובה מאפשרת למפקח להסתמך עליה במינימום מאמץ?   4" id="47"/>
    <tableColumn name="  פירוט לגבי יעילות ויכולת הסתמכות   4" id="48"/>
    <tableColumn name="  הערות כלליות של הבודק   4" id="49"/>
    <tableColumn name="האם התשובה נכונה?  5" id="50"/>
    <tableColumn name="  עד כמה התשובה מדויקת?   5" id="51"/>
    <tableColumn name="  פירוט לגבי הדיוק   5" id="52"/>
    <tableColumn name="  עד כמה התשובה שלמה?   5" id="53"/>
    <tableColumn name="פירוט לגבי שלמות התשובה 5" id="54"/>
    <tableColumn name="  עד כמה המסמכים שהמודל הביא רלוונטיים לשאלה?   5" id="55"/>
    <tableColumn name="  פירוט לגבי רלוונטיות המקורות   5" id="56"/>
    <tableColumn name="  רלוונטיות ובהירות התשובה   5" id="57"/>
    <tableColumn name="  פירוט לגבי רלוונטיות ובהירות   5" id="58"/>
    <tableColumn name="  עד כמה התשובה מאפשרת למפקח להסתמך עליה במינימום מאמץ?   5" id="59"/>
    <tableColumn name="  פירוט לגבי יעילות ויכולת הסתמכות   5" id="60"/>
    <tableColumn name="  הערות כלליות של הבודק   5" id="61"/>
  </tableColumns>
  <tableStyleInfo name="תגובות לטופס 4- צליל עמנואל סבר-style" showColumnStripes="0" showFirstColumn="1" showLastColumn="1" showRowStripes="1"/>
</table>
</file>

<file path=xl/tables/table8.xml><?xml version="1.0" encoding="utf-8"?>
<table xmlns="http://schemas.openxmlformats.org/spreadsheetml/2006/main" ref="A1:BI2" displayName="Table_8" name="Table_8" id="8">
  <tableColumns count="61">
    <tableColumn name="חותמת זמן" id="1"/>
    <tableColumn name="האם התשובה נכונה? " id="2"/>
    <tableColumn name="  עד כמה התשובה מדויקת?  " id="3"/>
    <tableColumn name="  פירוט לגבי הדיוק  " id="4"/>
    <tableColumn name="  עד כמה התשובה שלמה?  " id="5"/>
    <tableColumn name="פירוט לגבי שלמות התשובה" id="6"/>
    <tableColumn name="  עד כמה המסמכים שהמודל הביא רלוונטיים לשאלה?  " id="7"/>
    <tableColumn name="  פירוט לגבי רלוונטיות המקורות  " id="8"/>
    <tableColumn name="  רלוונטיות ובהירות התשובה  " id="9"/>
    <tableColumn name="  פירוט לגבי רלוונטיות ובהירות  " id="10"/>
    <tableColumn name="  עד כמה התשובה מאפשרת למפקח להסתמך עליה במינימום מאמץ?  " id="11"/>
    <tableColumn name="  פירוט לגבי יעילות ויכולת הסתמכות  " id="12"/>
    <tableColumn name="  הערות כלליות של הבודק  " id="13"/>
    <tableColumn name="האם התשובה נכונה?  2" id="14"/>
    <tableColumn name="  עד כמה התשובה מדויקת?   2" id="15"/>
    <tableColumn name="  פירוט לגבי הדיוק   2" id="16"/>
    <tableColumn name="  עד כמה התשובה שלמה?   2" id="17"/>
    <tableColumn name="פירוט לגבי שלמות התשובה 2" id="18"/>
    <tableColumn name="  עד כמה המסמכים שהמודל הביא רלוונטיים לשאלה?   2" id="19"/>
    <tableColumn name="  פירוט לגבי רלוונטיות המקורות   2" id="20"/>
    <tableColumn name="  רלוונטיות ובהירות התשובה   2" id="21"/>
    <tableColumn name="  פירוט לגבי רלוונטיות ובהירות   2" id="22"/>
    <tableColumn name="  עד כמה התשובה מאפשרת למפקח להסתמך עליה במינימום מאמץ?   2" id="23"/>
    <tableColumn name="  פירוט לגבי יעילות ויכולת הסתמכות   2" id="24"/>
    <tableColumn name="  הערות כלליות של הבודק   2" id="25"/>
    <tableColumn name="האם התשובה נכונה?  3" id="26"/>
    <tableColumn name="  עד כמה התשובה מדויקת?   3" id="27"/>
    <tableColumn name="  פירוט לגבי הדיוק   3" id="28"/>
    <tableColumn name="  עד כמה התשובה שלמה?   3" id="29"/>
    <tableColumn name="פירוט לגבי שלמות התשובה 3" id="30"/>
    <tableColumn name="  עד כמה המסמכים שהמודל הביא רלוונטיים לשאלה?   3" id="31"/>
    <tableColumn name="  פירוט לגבי רלוונטיות המקורות   3" id="32"/>
    <tableColumn name="  רלוונטיות ובהירות התשובה   3" id="33"/>
    <tableColumn name="  פירוט לגבי רלוונטיות ובהירות   3" id="34"/>
    <tableColumn name="  עד כמה התשובה מאפשרת למפקח להסתמך עליה במינימום מאמץ?   3" id="35"/>
    <tableColumn name="  פירוט לגבי יעילות ויכולת הסתמכות   3" id="36"/>
    <tableColumn name="  הערות כלליות של הבודק   3" id="37"/>
    <tableColumn name="האם התשובה נכונה?  4" id="38"/>
    <tableColumn name="  עד כמה התשובה מדויקת?   4" id="39"/>
    <tableColumn name="  פירוט לגבי הדיוק   4" id="40"/>
    <tableColumn name="  עד כמה התשובה שלמה?   4" id="41"/>
    <tableColumn name="פירוט לגבי שלמות התשובה 4" id="42"/>
    <tableColumn name="  עד כמה המסמכים שהמודל הביא רלוונטיים לשאלה?   4" id="43"/>
    <tableColumn name="  פירוט לגבי רלוונטיות המקורות   4" id="44"/>
    <tableColumn name="  רלוונטיות ובהירות התשובה   4" id="45"/>
    <tableColumn name="  פירוט לגבי רלוונטיות ובהירות   4" id="46"/>
    <tableColumn name="  עד כמה התשובה מאפשרת למפקח להסתמך עליה במינימום מאמץ?   4" id="47"/>
    <tableColumn name="  פירוט לגבי יעילות ויכולת הסתמכות   4" id="48"/>
    <tableColumn name="  הערות כלליות של הבודק   4" id="49"/>
    <tableColumn name="האם התשובה נכונה?  5" id="50"/>
    <tableColumn name="  עד כמה התשובה מדויקת?   5" id="51"/>
    <tableColumn name="  פירוט לגבי הדיוק   5" id="52"/>
    <tableColumn name="  עד כמה התשובה שלמה?   5" id="53"/>
    <tableColumn name="פירוט לגבי שלמות התשובה 5" id="54"/>
    <tableColumn name="  עד כמה המסמכים שהמודל הביא רלוונטיים לשאלה?   5" id="55"/>
    <tableColumn name="  פירוט לגבי רלוונטיות המקורות   5" id="56"/>
    <tableColumn name="  רלוונטיות ובהירות התשובה   5" id="57"/>
    <tableColumn name="  פירוט לגבי רלוונטיות ובהירות   5" id="58"/>
    <tableColumn name="  עד כמה התשובה מאפשרת למפקח להסתמך עליה במינימום מאמץ?   5" id="59"/>
    <tableColumn name="  פירוט לגבי יעילות ויכולת הסתמכות   5" id="60"/>
    <tableColumn name="  הערות כלליות של הבודק   5" id="61"/>
  </tableColumns>
  <tableStyleInfo name="תגובות לטופס 3- ניר-style" showColumnStripes="0" showFirstColumn="1" showLastColumn="1" showRowStripes="1"/>
</table>
</file>

<file path=xl/tables/table9.xml><?xml version="1.0" encoding="utf-8"?>
<table xmlns="http://schemas.openxmlformats.org/spreadsheetml/2006/main" ref="A1:BI2" displayName="Table_9" name="Table_9" id="9">
  <tableColumns count="61">
    <tableColumn name="חותמת זמן" id="1"/>
    <tableColumn name="האם התשובה נכונה? " id="2"/>
    <tableColumn name="  עד כמה התשובה מדויקת?  " id="3"/>
    <tableColumn name="  פירוט לגבי הדיוק  " id="4"/>
    <tableColumn name="  עד כמה התשובה שלמה?  " id="5"/>
    <tableColumn name="פירוט לגבי שלמות התשובה" id="6"/>
    <tableColumn name="  עד כמה המסמכים שהמודל הביא רלוונטיים לשאלה?  " id="7"/>
    <tableColumn name="  פירוט לגבי רלוונטיות המקורות  " id="8"/>
    <tableColumn name="  רלוונטיות ובהירות התשובה  " id="9"/>
    <tableColumn name="  פירוט לגבי רלוונטיות ובהירות  " id="10"/>
    <tableColumn name="  עד כמה התשובה מאפשרת למפקח להסתמך עליה במינימום מאמץ?  " id="11"/>
    <tableColumn name="  פירוט לגבי יעילות ויכולת הסתמכות  " id="12"/>
    <tableColumn name="  הערות כלליות של הבודק  " id="13"/>
    <tableColumn name="האם התשובה נכונה?  2" id="14"/>
    <tableColumn name="  עד כמה התשובה מדויקת?   2" id="15"/>
    <tableColumn name="  פירוט לגבי הדיוק   2" id="16"/>
    <tableColumn name="  עד כמה התשובה שלמה?   2" id="17"/>
    <tableColumn name="פירוט לגבי שלמות התשובה 2" id="18"/>
    <tableColumn name="  עד כמה המסמכים שהמודל הביא רלוונטיים לשאלה?   2" id="19"/>
    <tableColumn name="  פירוט לגבי רלוונטיות המקורות   2" id="20"/>
    <tableColumn name="  רלוונטיות ובהירות התשובה   2" id="21"/>
    <tableColumn name="  פירוט לגבי רלוונטיות ובהירות   2" id="22"/>
    <tableColumn name="  עד כמה התשובה מאפשרת למפקח להסתמך עליה במינימום מאמץ?   2" id="23"/>
    <tableColumn name="  פירוט לגבי יעילות ויכולת הסתמכות   2" id="24"/>
    <tableColumn name="  הערות כלליות של הבודק   2" id="25"/>
    <tableColumn name="האם התשובה נכונה?  3" id="26"/>
    <tableColumn name="  עד כמה התשובה מדויקת?   3" id="27"/>
    <tableColumn name="  פירוט לגבי הדיוק   3" id="28"/>
    <tableColumn name="  עד כמה התשובה שלמה?   3" id="29"/>
    <tableColumn name="פירוט לגבי שלמות התשובה 3" id="30"/>
    <tableColumn name="  עד כמה המסמכים שהמודל הביא רלוונטיים לשאלה?   3" id="31"/>
    <tableColumn name="  פירוט לגבי רלוונטיות המקורות   3" id="32"/>
    <tableColumn name="  רלוונטיות ובהירות התשובה   3" id="33"/>
    <tableColumn name="  פירוט לגבי רלוונטיות ובהירות   3" id="34"/>
    <tableColumn name="  עד כמה התשובה מאפשרת למפקח להסתמך עליה במינימום מאמץ?   3" id="35"/>
    <tableColumn name="  פירוט לגבי יעילות ויכולת הסתמכות   3" id="36"/>
    <tableColumn name="  הערות כלליות של הבודק   3" id="37"/>
    <tableColumn name="האם התשובה נכונה?  4" id="38"/>
    <tableColumn name="  עד כמה התשובה מדויקת?   4" id="39"/>
    <tableColumn name="  פירוט לגבי הדיוק   4" id="40"/>
    <tableColumn name="  עד כמה התשובה שלמה?   4" id="41"/>
    <tableColumn name="פירוט לגבי שלמות התשובה 4" id="42"/>
    <tableColumn name="  עד כמה המסמכים שהמודל הביא רלוונטיים לשאלה?   4" id="43"/>
    <tableColumn name="  פירוט לגבי רלוונטיות המקורות   4" id="44"/>
    <tableColumn name="  רלוונטיות ובהירות התשובה   4" id="45"/>
    <tableColumn name="  פירוט לגבי רלוונטיות ובהירות   4" id="46"/>
    <tableColumn name="  עד כמה התשובה מאפשרת למפקח להסתמך עליה במינימום מאמץ?   4" id="47"/>
    <tableColumn name="  פירוט לגבי יעילות ויכולת הסתמכות   4" id="48"/>
    <tableColumn name="  הערות כלליות של הבודק   4" id="49"/>
    <tableColumn name="האם התשובה נכונה?  5" id="50"/>
    <tableColumn name="  עד כמה התשובה מדויקת?   5" id="51"/>
    <tableColumn name="  פירוט לגבי הדיוק   5" id="52"/>
    <tableColumn name="  עד כמה התשובה שלמה?   5" id="53"/>
    <tableColumn name="פירוט לגבי שלמות התשובה 5" id="54"/>
    <tableColumn name="  עד כמה המסמכים שהמודל הביא רלוונטיים לשאלה?   5" id="55"/>
    <tableColumn name="  פירוט לגבי רלוונטיות המקורות   5" id="56"/>
    <tableColumn name="  רלוונטיות ובהירות התשובה   5" id="57"/>
    <tableColumn name="  פירוט לגבי רלוונטיות ובהירות   5" id="58"/>
    <tableColumn name="  עד כמה התשובה מאפשרת למפקח להסתמך עליה במינימום מאמץ?   5" id="59"/>
    <tableColumn name="  פירוט לגבי יעילות ויכולת הסתמכות   5" id="60"/>
    <tableColumn name="  הערות כלליות של הבודק   5" id="61"/>
  </tableColumns>
  <tableStyleInfo name="תגובות לטופס 2- לירן יהודאי-style" showColumnStripes="0" showFirstColumn="1" showLastColumn="1" showRowStripes="1"/>
</table>
</file>

<file path=xl/tables/table10.xml><?xml version="1.0" encoding="utf-8"?>
<table xmlns="http://schemas.openxmlformats.org/spreadsheetml/2006/main" ref="A1:BI2" displayName="Table_10" name="Table_10" id="10">
  <tableColumns count="61">
    <tableColumn name="חותמת זמן" id="1"/>
    <tableColumn name="האם התשובה נכונה? " id="2"/>
    <tableColumn name="  עד כמה התשובה מדויקת?  " id="3"/>
    <tableColumn name="  פירוט לגבי הדיוק  " id="4"/>
    <tableColumn name="  עד כמה התשובה שלמה?  " id="5"/>
    <tableColumn name="פירוט לגבי שלמות התשובה" id="6"/>
    <tableColumn name="  עד כמה המסמכים שהמודל הביא רלוונטיים לשאלה?  " id="7"/>
    <tableColumn name="  פירוט לגבי רלוונטיות המקורות  " id="8"/>
    <tableColumn name="  רלוונטיות ובהירות התשובה  " id="9"/>
    <tableColumn name="  פירוט לגבי רלוונטיות ובהירות  " id="10"/>
    <tableColumn name="  עד כמה התשובה מאפשרת למפקח להסתמך עליה במינימום מאמץ?  " id="11"/>
    <tableColumn name="  פירוט לגבי יעילות ויכולת הסתמכות  " id="12"/>
    <tableColumn name="  הערות כלליות של הבודק  " id="13"/>
    <tableColumn name="האם התשובה נכונה?  2" id="14"/>
    <tableColumn name="  עד כמה התשובה מדויקת?   2" id="15"/>
    <tableColumn name="  פירוט לגבי הדיוק   2" id="16"/>
    <tableColumn name="  עד כמה התשובה שלמה?   2" id="17"/>
    <tableColumn name="פירוט לגבי שלמות התשובה 2" id="18"/>
    <tableColumn name="  עד כמה המסמכים שהמודל הביא רלוונטיים לשאלה?   2" id="19"/>
    <tableColumn name="  פירוט לגבי רלוונטיות המקורות   2" id="20"/>
    <tableColumn name="  רלוונטיות ובהירות התשובה   2" id="21"/>
    <tableColumn name="  פירוט לגבי רלוונטיות ובהירות   2" id="22"/>
    <tableColumn name="  עד כמה התשובה מאפשרת למפקח להסתמך עליה במינימום מאמץ?   2" id="23"/>
    <tableColumn name="  פירוט לגבי יעילות ויכולת הסתמכות   2" id="24"/>
    <tableColumn name="  הערות כלליות של הבודק   2" id="25"/>
    <tableColumn name="האם התשובה נכונה?  3" id="26"/>
    <tableColumn name="  עד כמה התשובה מדויקת?   3" id="27"/>
    <tableColumn name="  פירוט לגבי הדיוק   3" id="28"/>
    <tableColumn name="  עד כמה התשובה שלמה?   3" id="29"/>
    <tableColumn name="פירוט לגבי שלמות התשובה 3" id="30"/>
    <tableColumn name="  עד כמה המסמכים שהמודל הביא רלוונטיים לשאלה?   3" id="31"/>
    <tableColumn name="  פירוט לגבי רלוונטיות המקורות   3" id="32"/>
    <tableColumn name="  רלוונטיות ובהירות התשובה   3" id="33"/>
    <tableColumn name="  פירוט לגבי רלוונטיות ובהירות   3" id="34"/>
    <tableColumn name="  עד כמה התשובה מאפשרת למפקח להסתמך עליה במינימום מאמץ?   3" id="35"/>
    <tableColumn name="  פירוט לגבי יעילות ויכולת הסתמכות   3" id="36"/>
    <tableColumn name="  הערות כלליות של הבודק   3" id="37"/>
    <tableColumn name="האם התשובה נכונה?  4" id="38"/>
    <tableColumn name="  עד כמה התשובה מדויקת?   4" id="39"/>
    <tableColumn name="  פירוט לגבי הדיוק   4" id="40"/>
    <tableColumn name="  עד כמה התשובה שלמה?   4" id="41"/>
    <tableColumn name="פירוט לגבי שלמות התשובה 4" id="42"/>
    <tableColumn name="  עד כמה המסמכים שהמודל הביא רלוונטיים לשאלה?   4" id="43"/>
    <tableColumn name="  פירוט לגבי רלוונטיות המקורות   4" id="44"/>
    <tableColumn name="  רלוונטיות ובהירות התשובה   4" id="45"/>
    <tableColumn name="  פירוט לגבי רלוונטיות ובהירות   4" id="46"/>
    <tableColumn name="  עד כמה התשובה מאפשרת למפקח להסתמך עליה במינימום מאמץ?   4" id="47"/>
    <tableColumn name="  פירוט לגבי יעילות ויכולת הסתמכות   4" id="48"/>
    <tableColumn name="  הערות כלליות של הבודק   4" id="49"/>
    <tableColumn name="האם התשובה נכונה?  5" id="50"/>
    <tableColumn name="  עד כמה התשובה מדויקת?   5" id="51"/>
    <tableColumn name="  פירוט לגבי הדיוק   5" id="52"/>
    <tableColumn name="  עד כמה התשובה שלמה?   5" id="53"/>
    <tableColumn name="פירוט לגבי שלמות התשובה 5" id="54"/>
    <tableColumn name="  עד כמה המסמכים שהמודל הביא רלוונטיים לשאלה?   5" id="55"/>
    <tableColumn name="  פירוט לגבי רלוונטיות המקורות   5" id="56"/>
    <tableColumn name="  רלוונטיות ובהירות התשובה   5" id="57"/>
    <tableColumn name="  פירוט לגבי רלוונטיות ובהירות   5" id="58"/>
    <tableColumn name="  עד כמה התשובה מאפשרת למפקח להסתמך עליה במינימום מאמץ?   5" id="59"/>
    <tableColumn name="  פירוט לגבי יעילות ויכולת הסתמכות   5" id="60"/>
    <tableColumn name="  הערות כלליות של הבודק   5" id="61"/>
  </tableColumns>
  <tableStyleInfo name="תגובות לטופס 1- בן לסנס-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mailto:nirfr@gmail.com" TargetMode="External"/><Relationship Id="rId11" Type="http://schemas.openxmlformats.org/officeDocument/2006/relationships/hyperlink" Target="https://docs.google.com/forms/d/1JcYKZaYpYoYAiSU-JGKJaTZs0nnIoQp8FQNDUD5qjz0/edit" TargetMode="External"/><Relationship Id="rId10" Type="http://schemas.openxmlformats.org/officeDocument/2006/relationships/hyperlink" Target="mailto:tzlilemanuel@gmail.com" TargetMode="External"/><Relationship Id="rId21" Type="http://schemas.openxmlformats.org/officeDocument/2006/relationships/drawing" Target="../drawings/drawing5.xml"/><Relationship Id="rId13" Type="http://schemas.openxmlformats.org/officeDocument/2006/relationships/hyperlink" Target="https://docs.google.com/forms/d/1tLLUKPUHPfgjqnBSv6TzNh1f273TR_tFR1dTY_AR64Y/edit" TargetMode="External"/><Relationship Id="rId12" Type="http://schemas.openxmlformats.org/officeDocument/2006/relationships/hyperlink" Target="mailto:tomye@taxes.gov.il" TargetMode="External"/><Relationship Id="rId1" Type="http://schemas.openxmlformats.org/officeDocument/2006/relationships/hyperlink" Target="https://docs.google.com/forms/d/1I-bNZEA1u6H0mSCiXFG1UKBPdKa6L_Yt39qbZ4VoO14/edit" TargetMode="External"/><Relationship Id="rId2" Type="http://schemas.openxmlformats.org/officeDocument/2006/relationships/hyperlink" Target="mailto:benyaminle@taxes.gov.il" TargetMode="External"/><Relationship Id="rId3" Type="http://schemas.openxmlformats.org/officeDocument/2006/relationships/hyperlink" Target="https://docs.google.com/forms/d/1wNJtlOI-jNOd48Fi0o27QgD7jDC7zpm9jPLI4CdYoxQ/edit" TargetMode="External"/><Relationship Id="rId4" Type="http://schemas.openxmlformats.org/officeDocument/2006/relationships/hyperlink" Target="mailto:test3@taxes.gov.il" TargetMode="External"/><Relationship Id="rId9" Type="http://schemas.openxmlformats.org/officeDocument/2006/relationships/hyperlink" Target="https://docs.google.com/forms/d/1tXWI5QjdtRNW7fNkjkxwPtwtl7nGgPGSZ8y4Qpq8qWY/edit" TargetMode="External"/><Relationship Id="rId15" Type="http://schemas.openxmlformats.org/officeDocument/2006/relationships/hyperlink" Target="https://docs.google.com/forms/d/17y3iC88Wfv5Ofd4XcURdqHWbtG57pxFtmGbztlRd6sU/edit" TargetMode="External"/><Relationship Id="rId14" Type="http://schemas.openxmlformats.org/officeDocument/2006/relationships/hyperlink" Target="mailto:test1@taxes.gov.il" TargetMode="External"/><Relationship Id="rId17" Type="http://schemas.openxmlformats.org/officeDocument/2006/relationships/hyperlink" Target="https://docs.google.com/forms/d/1FKfeRWVahHX2wJmrm_00o0JL2ZlDnnfU_eplR3vdNOY/edit" TargetMode="External"/><Relationship Id="rId16" Type="http://schemas.openxmlformats.org/officeDocument/2006/relationships/hyperlink" Target="mailto:MichaelLe@taxes.gov.il" TargetMode="External"/><Relationship Id="rId5" Type="http://schemas.openxmlformats.org/officeDocument/2006/relationships/hyperlink" Target="https://docs.google.com/forms/d/1yGVoBUXUzW_8cpfb1ymeFywDOlmOIFVsG9Hal6Vu3-4/edit" TargetMode="External"/><Relationship Id="rId19" Type="http://schemas.openxmlformats.org/officeDocument/2006/relationships/hyperlink" Target="https://docs.google.com/forms/d/1GC3mZ9gf7SKImmvoHgWAVHRlltZWW-xXnENt2nQ2M5M/edit" TargetMode="External"/><Relationship Id="rId6" Type="http://schemas.openxmlformats.org/officeDocument/2006/relationships/hyperlink" Target="mailto:oferba@taxes.gov.il" TargetMode="External"/><Relationship Id="rId18" Type="http://schemas.openxmlformats.org/officeDocument/2006/relationships/hyperlink" Target="mailto:liranye@taxes.gov.il" TargetMode="External"/><Relationship Id="rId7" Type="http://schemas.openxmlformats.org/officeDocument/2006/relationships/hyperlink" Target="https://docs.google.com/forms/d/1kUODHpmApCw50xb5Tva6I4yW9mTx0bnI63RrP4Y6ZDo/edit" TargetMode="External"/><Relationship Id="rId8" Type="http://schemas.openxmlformats.org/officeDocument/2006/relationships/hyperlink" Target="mailto:tatarye@taxes.gov.i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6.14"/>
    <col customWidth="1" min="2" max="2" width="6.57"/>
    <col customWidth="1" min="3" max="3" width="34.0"/>
    <col customWidth="1" min="4" max="4" width="61.14"/>
    <col customWidth="1" min="5" max="5" width="26.29"/>
    <col customWidth="1" hidden="1" min="6" max="6" width="23.57"/>
    <col customWidth="1" min="7" max="7" width="21.57"/>
    <col customWidth="1" min="8" max="8" width="33.71"/>
    <col customWidth="1" min="9" max="10" width="21.57"/>
    <col customWidth="1" min="11" max="11" width="29.57"/>
    <col customWidth="1" min="12" max="12" width="15.57"/>
    <col customWidth="1" min="13" max="13" width="13.29"/>
    <col customWidth="1" min="14" max="14" width="12.14"/>
    <col customWidth="1" min="15" max="15" width="34.14"/>
    <col customWidth="1" min="16" max="16" width="12.29"/>
    <col customWidth="1" min="17" max="17" width="25.43"/>
    <col customWidth="1" min="18" max="18" width="15.57"/>
    <col customWidth="1" min="19" max="19" width="22.71"/>
    <col customWidth="1" min="20" max="20" width="11.86"/>
    <col customWidth="1" min="21" max="21" width="30.0"/>
    <col customWidth="1" min="22" max="22" width="15.86"/>
    <col customWidth="1" min="23" max="23" width="31.43"/>
    <col customWidth="1" min="24" max="24" width="24.57"/>
    <col customWidth="1" min="25" max="59" width="7.43"/>
    <col customWidth="1" min="60" max="70" width="7.86"/>
    <col customWidth="1" min="71" max="71" width="6.43"/>
    <col customWidth="1" min="72" max="72" width="7.86"/>
  </cols>
  <sheetData>
    <row r="1" ht="71.25" customHeight="1">
      <c r="A1" s="1" t="s">
        <v>0</v>
      </c>
      <c r="B1" s="2" t="s">
        <v>1</v>
      </c>
      <c r="C1" s="2" t="s">
        <v>2</v>
      </c>
      <c r="D1" s="2" t="s">
        <v>3</v>
      </c>
      <c r="E1" s="2" t="s">
        <v>4</v>
      </c>
      <c r="F1" s="3" t="s">
        <v>5</v>
      </c>
      <c r="G1" s="4" t="s">
        <v>6</v>
      </c>
      <c r="H1" s="4" t="s">
        <v>7</v>
      </c>
      <c r="I1" s="4" t="s">
        <v>8</v>
      </c>
      <c r="J1" s="4" t="s">
        <v>9</v>
      </c>
      <c r="K1" s="3" t="s">
        <v>10</v>
      </c>
      <c r="L1" s="5" t="s">
        <v>11</v>
      </c>
      <c r="M1" s="3" t="s">
        <v>12</v>
      </c>
      <c r="N1" s="3" t="s">
        <v>13</v>
      </c>
      <c r="O1" s="3" t="s">
        <v>14</v>
      </c>
      <c r="P1" s="3" t="s">
        <v>15</v>
      </c>
      <c r="Q1" s="3" t="s">
        <v>16</v>
      </c>
      <c r="R1" s="3" t="s">
        <v>17</v>
      </c>
      <c r="S1" s="3" t="s">
        <v>18</v>
      </c>
      <c r="T1" s="3" t="s">
        <v>19</v>
      </c>
      <c r="U1" s="3" t="s">
        <v>20</v>
      </c>
      <c r="V1" s="3" t="s">
        <v>21</v>
      </c>
      <c r="W1" s="3" t="s">
        <v>22</v>
      </c>
      <c r="X1" s="3" t="s">
        <v>23</v>
      </c>
      <c r="Y1" s="6" t="s">
        <v>13</v>
      </c>
      <c r="Z1" s="6" t="s">
        <v>14</v>
      </c>
      <c r="AA1" s="6" t="s">
        <v>15</v>
      </c>
      <c r="AB1" s="6" t="s">
        <v>16</v>
      </c>
      <c r="AC1" s="6" t="s">
        <v>17</v>
      </c>
      <c r="AD1" s="6" t="s">
        <v>18</v>
      </c>
      <c r="AE1" s="6" t="s">
        <v>19</v>
      </c>
      <c r="AF1" s="6" t="s">
        <v>20</v>
      </c>
      <c r="AG1" s="6" t="s">
        <v>21</v>
      </c>
      <c r="AH1" s="6" t="s">
        <v>22</v>
      </c>
      <c r="AI1" s="6" t="s">
        <v>23</v>
      </c>
      <c r="AJ1" s="6" t="s">
        <v>12</v>
      </c>
      <c r="AK1" s="7" t="s">
        <v>13</v>
      </c>
      <c r="AL1" s="7" t="s">
        <v>14</v>
      </c>
      <c r="AM1" s="7" t="s">
        <v>15</v>
      </c>
      <c r="AN1" s="7" t="s">
        <v>16</v>
      </c>
      <c r="AO1" s="7" t="s">
        <v>17</v>
      </c>
      <c r="AP1" s="7" t="s">
        <v>18</v>
      </c>
      <c r="AQ1" s="7" t="s">
        <v>19</v>
      </c>
      <c r="AR1" s="7" t="s">
        <v>20</v>
      </c>
      <c r="AS1" s="7" t="s">
        <v>21</v>
      </c>
      <c r="AT1" s="7" t="s">
        <v>22</v>
      </c>
      <c r="AU1" s="7" t="s">
        <v>23</v>
      </c>
      <c r="AV1" s="6" t="s">
        <v>12</v>
      </c>
      <c r="AW1" s="6" t="s">
        <v>13</v>
      </c>
      <c r="AX1" s="6" t="s">
        <v>14</v>
      </c>
      <c r="AY1" s="6" t="s">
        <v>15</v>
      </c>
      <c r="AZ1" s="6" t="s">
        <v>16</v>
      </c>
      <c r="BA1" s="6" t="s">
        <v>17</v>
      </c>
      <c r="BB1" s="6" t="s">
        <v>18</v>
      </c>
      <c r="BC1" s="6" t="s">
        <v>19</v>
      </c>
      <c r="BD1" s="6" t="s">
        <v>20</v>
      </c>
      <c r="BE1" s="6" t="s">
        <v>21</v>
      </c>
      <c r="BF1" s="6" t="s">
        <v>22</v>
      </c>
      <c r="BG1" s="6" t="s">
        <v>23</v>
      </c>
      <c r="BH1" s="7" t="s">
        <v>12</v>
      </c>
      <c r="BI1" s="7" t="s">
        <v>13</v>
      </c>
      <c r="BJ1" s="7" t="s">
        <v>14</v>
      </c>
      <c r="BK1" s="7" t="s">
        <v>15</v>
      </c>
      <c r="BL1" s="7" t="s">
        <v>16</v>
      </c>
      <c r="BM1" s="7" t="s">
        <v>17</v>
      </c>
      <c r="BN1" s="7" t="s">
        <v>18</v>
      </c>
      <c r="BO1" s="7" t="s">
        <v>19</v>
      </c>
      <c r="BP1" s="7" t="s">
        <v>20</v>
      </c>
      <c r="BQ1" s="7" t="s">
        <v>21</v>
      </c>
      <c r="BR1" s="7" t="s">
        <v>22</v>
      </c>
      <c r="BS1" s="7" t="s">
        <v>23</v>
      </c>
      <c r="BT1" s="6" t="s">
        <v>12</v>
      </c>
    </row>
    <row r="2" ht="129.0" customHeight="1">
      <c r="A2" s="8" t="s">
        <v>24</v>
      </c>
      <c r="B2" s="9" t="s">
        <v>25</v>
      </c>
      <c r="C2" s="10" t="s">
        <v>26</v>
      </c>
      <c r="D2" s="11" t="s">
        <v>27</v>
      </c>
      <c r="E2" s="12" t="s">
        <v>28</v>
      </c>
      <c r="F2" s="13" t="str">
        <f>'תגובות לטופס 2- לירן יהודאי'!$A$2</f>
        <v>8/24/2026 12:20:28</v>
      </c>
      <c r="G2" s="14" t="s">
        <v>29</v>
      </c>
      <c r="H2" s="14" t="s">
        <v>30</v>
      </c>
      <c r="I2" s="15"/>
      <c r="J2" s="15"/>
      <c r="K2" s="16" t="s">
        <v>31</v>
      </c>
      <c r="L2" s="17" t="s">
        <v>28</v>
      </c>
      <c r="M2" s="18" t="str">
        <f>'תגובות לטופס 2- לירן יהודאי'!B2</f>
        <v>נכונה</v>
      </c>
      <c r="N2" s="18" t="str">
        <f>'תגובות לטופס 2- לירן יהודאי'!C2</f>
        <v>9</v>
      </c>
      <c r="O2" s="19" t="str">
        <f>'תגובות לטופס 2- לירן יהודאי'!D2</f>
        <v/>
      </c>
      <c r="P2" s="18" t="str">
        <f>'תגובות לטופס 2- לירן יהודאי'!E2</f>
        <v>9</v>
      </c>
      <c r="Q2" s="19" t="str">
        <f>'תגובות לטופס 2- לירן יהודאי'!F2</f>
        <v/>
      </c>
      <c r="R2" s="18" t="str">
        <f>'תגובות לטופס 2- לירן יהודאי'!G2</f>
        <v>9</v>
      </c>
      <c r="S2" s="19" t="str">
        <f>'תגובות לטופס 2- לירן יהודאי'!H2</f>
        <v/>
      </c>
      <c r="T2" s="18" t="str">
        <f>'תגובות לטופס 2- לירן יהודאי'!I2</f>
        <v/>
      </c>
      <c r="U2" s="19" t="str">
        <f>'תגובות לטופס 2- לירן יהודאי'!J2</f>
        <v/>
      </c>
      <c r="V2" s="18" t="str">
        <f>'תגובות לטופס 2- לירן יהודאי'!K2</f>
        <v/>
      </c>
      <c r="W2" s="20" t="str">
        <f>'תגובות לטופס 2- לירן יהודאי'!L2</f>
        <v>כן, אשמח להכוונה מדוייקת איפה למצוא את התשובה </v>
      </c>
      <c r="X2" s="21" t="str">
        <f>'תגובות לטופס 2- לירן יהודאי'!M2</f>
        <v/>
      </c>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row>
    <row r="3" ht="129.0" customHeight="1">
      <c r="A3" s="8" t="s">
        <v>32</v>
      </c>
      <c r="B3" s="9" t="s">
        <v>25</v>
      </c>
      <c r="C3" s="10" t="s">
        <v>33</v>
      </c>
      <c r="D3" s="11" t="s">
        <v>34</v>
      </c>
      <c r="E3" s="23" t="s">
        <v>35</v>
      </c>
      <c r="F3" s="13" t="str">
        <f>'תגובות לטופס 2- לירן יהודאי'!$A$2</f>
        <v>8/24/2026 12:20:28</v>
      </c>
      <c r="G3" s="14" t="s">
        <v>36</v>
      </c>
      <c r="H3" s="14" t="s">
        <v>37</v>
      </c>
      <c r="I3" s="15"/>
      <c r="J3" s="15"/>
      <c r="K3" s="24" t="s">
        <v>38</v>
      </c>
      <c r="L3" s="25" t="s">
        <v>35</v>
      </c>
      <c r="M3" s="18" t="str">
        <f>'תגובות לטופס 2- לירן יהודאי'!N2</f>
        <v>נכונה</v>
      </c>
      <c r="N3" s="18" t="str">
        <f>'תגובות לטופס 2- לירן יהודאי'!O2</f>
        <v>9</v>
      </c>
      <c r="O3" s="19" t="str">
        <f>'תגובות לטופס 2- לירן יהודאי'!P2</f>
        <v/>
      </c>
      <c r="P3" s="18" t="str">
        <f>'תגובות לטופס 2- לירן יהודאי'!Q2</f>
        <v>9</v>
      </c>
      <c r="Q3" s="19" t="str">
        <f>'תגובות לטופס 2- לירן יהודאי'!R2</f>
        <v/>
      </c>
      <c r="R3" s="18" t="str">
        <f>'תגובות לטופס 2- לירן יהודאי'!S2</f>
        <v>10</v>
      </c>
      <c r="S3" s="19" t="str">
        <f>'תגובות לטופס 2- לירן יהודאי'!T2</f>
        <v/>
      </c>
      <c r="T3" s="18" t="str">
        <f>'תגובות לטופס 2- לירן יהודאי'!U2</f>
        <v>7</v>
      </c>
      <c r="U3" s="26" t="str">
        <f>'תגובות לטופס 2- לירן יהודאי'!V2</f>
        <v>המלל מסורבל וקשה להבין מה מהתשובה נלקח מאיזה מקור</v>
      </c>
      <c r="V3" s="18" t="str">
        <f>'תגובות לטופס 2- לירן יהודאי'!W2</f>
        <v>9</v>
      </c>
      <c r="W3" s="19" t="str">
        <f>'תגובות לטופס 2- לירן יהודאי'!X2</f>
        <v/>
      </c>
      <c r="X3" s="21" t="str">
        <f>'תגובות לטופס 2- לירן יהודאי'!Y2</f>
        <v/>
      </c>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row>
    <row r="4" ht="66.0" customHeight="1">
      <c r="A4" s="8" t="s">
        <v>39</v>
      </c>
      <c r="B4" s="9" t="s">
        <v>25</v>
      </c>
      <c r="C4" s="10" t="s">
        <v>40</v>
      </c>
      <c r="D4" s="11" t="s">
        <v>41</v>
      </c>
      <c r="E4" s="12" t="s">
        <v>42</v>
      </c>
      <c r="F4" s="13" t="str">
        <f>'תגובות לטופס 2- לירן יהודאי'!$A$2</f>
        <v>8/24/2026 12:20:28</v>
      </c>
      <c r="G4" s="14" t="s">
        <v>43</v>
      </c>
      <c r="H4" s="14" t="s">
        <v>44</v>
      </c>
      <c r="I4" s="15"/>
      <c r="J4" s="15"/>
      <c r="K4" s="16" t="s">
        <v>45</v>
      </c>
      <c r="L4" s="17" t="s">
        <v>46</v>
      </c>
      <c r="M4" s="18" t="str">
        <f>'תגובות לטופס 2- לירן יהודאי'!AL2</f>
        <v>נכונה</v>
      </c>
      <c r="N4" s="18" t="str">
        <f>'תגובות לטופס 2- לירן יהודאי'!AM2</f>
        <v>8</v>
      </c>
      <c r="O4" s="19" t="str">
        <f>'תגובות לטופס 2- לירן יהודאי'!AN2</f>
        <v/>
      </c>
      <c r="P4" s="18" t="str">
        <f>'תגובות לטופס 2- לירן יהודאי'!AO2</f>
        <v>6</v>
      </c>
      <c r="Q4" s="27" t="str">
        <f>'תגובות לטופס 2- לירן יהודאי'!AP2</f>
        <v>לא הובא מסמך המקור, צורף רק המסמך עם העידכונים</v>
      </c>
      <c r="R4" s="18" t="str">
        <f>'תגובות לטופס 2- לירן יהודאי'!AQ2</f>
        <v>7</v>
      </c>
      <c r="S4" s="19" t="str">
        <f>'תגובות לטופס 2- לירן יהודאי'!AR2</f>
        <v>חסר מסמך המקור</v>
      </c>
      <c r="T4" s="18" t="str">
        <f>'תגובות לטופס 2- לירן יהודאי'!AS2</f>
        <v>8</v>
      </c>
      <c r="U4" s="19" t="str">
        <f>'תגובות לטופס 2- לירן יהודאי'!AT2</f>
        <v/>
      </c>
      <c r="V4" s="18" t="str">
        <f>'תגובות לטופס 2- לירן יהודאי'!AU2</f>
        <v>6</v>
      </c>
      <c r="W4" s="19" t="str">
        <f>'תגובות לטופס 2- לירן יהודאי'!AV2</f>
        <v/>
      </c>
      <c r="X4" s="21" t="str">
        <f>'תגובות לטופס 2- לירן יהודאי'!AW2</f>
        <v/>
      </c>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row>
    <row r="5" ht="66.0" customHeight="1">
      <c r="A5" s="8" t="s">
        <v>47</v>
      </c>
      <c r="B5" s="9" t="s">
        <v>25</v>
      </c>
      <c r="C5" s="10" t="s">
        <v>48</v>
      </c>
      <c r="D5" s="11" t="s">
        <v>49</v>
      </c>
      <c r="E5" s="12" t="s">
        <v>50</v>
      </c>
      <c r="F5" s="13" t="str">
        <f>'תגובות לטופס 2- לירן יהודאי'!$A$2</f>
        <v>8/24/2026 12:20:28</v>
      </c>
      <c r="G5" s="14" t="s">
        <v>51</v>
      </c>
      <c r="H5" s="14" t="s">
        <v>52</v>
      </c>
      <c r="I5" s="15"/>
      <c r="J5" s="15"/>
      <c r="K5" s="16" t="s">
        <v>53</v>
      </c>
      <c r="L5" s="17" t="s">
        <v>50</v>
      </c>
      <c r="M5" s="18" t="str">
        <f>'תגובות לטופס 2- לירן יהודאי'!AX2</f>
        <v>נכונה</v>
      </c>
      <c r="N5" s="18" t="str">
        <f>'תגובות לטופס 2- לירן יהודאי'!AY2</f>
        <v>9</v>
      </c>
      <c r="O5" s="19" t="str">
        <f>'תגובות לטופס 2- לירן יהודאי'!AZ2</f>
        <v/>
      </c>
      <c r="P5" s="18" t="str">
        <f>'תגובות לטופס 2- לירן יהודאי'!BA2</f>
        <v>9</v>
      </c>
      <c r="Q5" s="28" t="str">
        <f>'תגובות לטופס 2- לירן יהודאי'!BB2</f>
        <v>הייתי רוצה הפניה מדויקת לכך שהפטור הוא ליחיד או לנציגות המס המשותף</v>
      </c>
      <c r="R5" s="18" t="str">
        <f>'תגובות לטופס 2- לירן יהודאי'!BC2</f>
        <v>9</v>
      </c>
      <c r="S5" s="19" t="str">
        <f>'תגובות לטופס 2- לירן יהודאי'!BD2</f>
        <v/>
      </c>
      <c r="T5" s="18" t="str">
        <f>'תגובות לטופס 2- לירן יהודאי'!BE2</f>
        <v>9</v>
      </c>
      <c r="U5" s="19" t="str">
        <f>'תגובות לטופס 2- לירן יהודאי'!BF2</f>
        <v/>
      </c>
      <c r="V5" s="18" t="str">
        <f>'תגובות לטופס 2- לירן יהודאי'!BG2</f>
        <v>7</v>
      </c>
      <c r="W5" s="19" t="str">
        <f>'תגובות לטופס 2- לירן יהודאי'!BH2</f>
        <v/>
      </c>
      <c r="X5" s="21" t="str">
        <f>'תגובות לטופס 2- לירן יהודאי'!BI2</f>
        <v/>
      </c>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row>
    <row r="6" ht="66.0" customHeight="1">
      <c r="A6" s="8" t="s">
        <v>54</v>
      </c>
      <c r="B6" s="12" t="s">
        <v>55</v>
      </c>
      <c r="C6" s="10" t="s">
        <v>56</v>
      </c>
      <c r="D6" s="29" t="s">
        <v>57</v>
      </c>
      <c r="E6" s="30" t="s">
        <v>58</v>
      </c>
      <c r="F6" s="13" t="str">
        <f>'תגובות לטופס 3- ניר'!A2</f>
        <v>8/24/2026 18:18:38</v>
      </c>
      <c r="G6" s="14" t="s">
        <v>59</v>
      </c>
      <c r="H6" s="31" t="s">
        <v>60</v>
      </c>
      <c r="I6" s="15"/>
      <c r="J6" s="15"/>
      <c r="K6" s="32" t="s">
        <v>61</v>
      </c>
      <c r="L6" s="17" t="s">
        <v>62</v>
      </c>
      <c r="M6" s="18" t="str">
        <f>'תגובות לטופס 3- ניר'!B2</f>
        <v>שגויה</v>
      </c>
      <c r="N6" s="18" t="str">
        <f>'תגובות לטופס 3- ניר'!C2</f>
        <v>1</v>
      </c>
      <c r="O6" s="27" t="str">
        <f>'תגובות לטופס 3- ניר'!D2</f>
        <v>טופס 7503 ודוח 0 מעודכן רשום בהוראת הביצוע משנת 21 בצורה ברורה המודל התפזר</v>
      </c>
      <c r="P6" s="18" t="str">
        <f>'תגובות לטופס 3- ניר'!E2</f>
        <v>1</v>
      </c>
      <c r="Q6" s="19" t="str">
        <f>'תגובות לטופס 3- ניר'!F2</f>
        <v>המודל התפזר לא רשום הטופס לא רשום דוח 0 מעודכן אלו הדברים החשובים</v>
      </c>
      <c r="R6" s="18" t="str">
        <f>'תגובות לטופס 3- ניר'!G2</f>
        <v>1</v>
      </c>
      <c r="S6" s="19" t="str">
        <f>'תגובות לטופס 3- ניר'!H2</f>
        <v>המקור היחיד שרלוונטי זה הוראת הביצוע עמוד 10 סעיף 5.3.3.2</v>
      </c>
      <c r="T6" s="18" t="str">
        <f>'תגובות לטופס 3- ניר'!I2</f>
        <v>1</v>
      </c>
      <c r="U6" s="19" t="str">
        <f>'תגובות לטופס 3- ניר'!J2</f>
        <v>המודל התפזר עודף מידע לא רלוונטי צריך להסביר את הרציו בהפחתה שנמכרו מספר דירות, צפוי הפסד עתידי ולכן עליו להמציא טופס... ודוח 0 מעודכן</v>
      </c>
      <c r="V6" s="18" t="str">
        <f>'תגובות לטופס 3- ניר'!K2</f>
        <v>1</v>
      </c>
      <c r="W6" s="19" t="str">
        <f>'תגובות לטופס 3- ניר'!L2</f>
        <v>להפנות לחוזר האחרון שיצא</v>
      </c>
      <c r="X6" s="19" t="str">
        <f>'תגובות לטופס 3- ניר'!M2</f>
        <v>מפוזר לא ניתן להסתמך דרך אגב תכנסו להוצאת רונן למיסים AI הוא נותן תשובה הרבה יותר טובה</v>
      </c>
    </row>
    <row r="7" ht="66.0" customHeight="1">
      <c r="A7" s="8" t="s">
        <v>63</v>
      </c>
      <c r="B7" s="12" t="s">
        <v>64</v>
      </c>
      <c r="C7" s="10" t="s">
        <v>65</v>
      </c>
      <c r="D7" s="29" t="s">
        <v>66</v>
      </c>
      <c r="E7" s="30" t="s">
        <v>67</v>
      </c>
      <c r="F7" s="13" t="str">
        <f t="shared" ref="F7:F10" si="1">F6</f>
        <v>8/24/2026 18:18:38</v>
      </c>
      <c r="G7" s="14" t="s">
        <v>68</v>
      </c>
      <c r="H7" s="33" t="s">
        <v>69</v>
      </c>
      <c r="I7" s="15"/>
      <c r="J7" s="15"/>
      <c r="K7" s="32" t="s">
        <v>70</v>
      </c>
      <c r="L7" s="17" t="s">
        <v>71</v>
      </c>
      <c r="M7" s="18" t="str">
        <f>'תגובות לטופס 3- ניר'!N2</f>
        <v>שגויה</v>
      </c>
      <c r="N7" s="18" t="str">
        <f>'תגובות לטופס 3- ניר'!O2</f>
        <v>4</v>
      </c>
      <c r="O7" s="19" t="str">
        <f>'תגובות לטופס 3- ניר'!P2</f>
        <v>מקרה בתחום האפור, במקרה הזה יש לקבל הבהרות מרו"ח ולפנות למקצועית האם הנמקה 77</v>
      </c>
      <c r="P7" s="18" t="str">
        <f>'תגובות לטופס 3- ניר'!Q2</f>
        <v>4</v>
      </c>
      <c r="Q7" s="19" t="str">
        <f>'תגובות לטופס 3- ניר'!R2</f>
        <v>ראה תשובה 1</v>
      </c>
      <c r="R7" s="18" t="str">
        <f>'תגובות לטופס 3- ניר'!S2</f>
        <v>10</v>
      </c>
      <c r="S7" s="19" t="str">
        <f>'תגובות לטופס 3- ניר'!T2</f>
        <v/>
      </c>
      <c r="T7" s="18" t="str">
        <f>'תגובות לטופס 3- ניר'!U2</f>
        <v>8</v>
      </c>
      <c r="U7" s="19" t="str">
        <f>'תגובות לטופס 3- ניר'!V2</f>
        <v/>
      </c>
      <c r="V7" s="18" t="str">
        <f>'תגובות לטופס 3- ניר'!W2</f>
        <v>4</v>
      </c>
      <c r="W7" s="19" t="str">
        <f>'תגובות לטופס 3- ניר'!X2</f>
        <v>מקרה אפור המודל לא ענה בצורה מלאה יותר מדי החלטי</v>
      </c>
      <c r="X7" s="21" t="str">
        <f>'תגובות לטופס 3- ניר'!Y2</f>
        <v/>
      </c>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row>
    <row r="8" ht="110.25" customHeight="1">
      <c r="A8" s="8" t="s">
        <v>72</v>
      </c>
      <c r="B8" s="12" t="s">
        <v>73</v>
      </c>
      <c r="C8" s="10" t="s">
        <v>74</v>
      </c>
      <c r="D8" s="29" t="s">
        <v>75</v>
      </c>
      <c r="E8" s="30" t="s">
        <v>76</v>
      </c>
      <c r="F8" s="13" t="str">
        <f t="shared" si="1"/>
        <v>8/24/2026 18:18:38</v>
      </c>
      <c r="G8" s="14" t="s">
        <v>77</v>
      </c>
      <c r="H8" s="34" t="s">
        <v>78</v>
      </c>
      <c r="I8" s="15"/>
      <c r="J8" s="15"/>
      <c r="K8" s="32" t="s">
        <v>79</v>
      </c>
      <c r="L8" s="17" t="s">
        <v>80</v>
      </c>
      <c r="M8" s="18" t="str">
        <f>'תגובות לטופס 3- ניר'!Z2</f>
        <v>שגויה</v>
      </c>
      <c r="N8" s="18" t="str">
        <f>'תגובות לטופס 3- ניר'!AA2</f>
        <v>1</v>
      </c>
      <c r="O8" s="19" t="str">
        <f>'תגובות לטופס 3- ניר'!AB2</f>
        <v>התפלק לו, הוא לא בכיוון. לדעתי הוא הבין שיש צורך שבפקודה יהיה אופציה לייחוס הוצאות המימון ולכן הלך לסעיף 18. הוא פספס לחלוטין מדובר בנכס לא מניב ולכן היה אמור לכוון מלכתכילה לסעיף 17 כי לא מדובר בוהצאה בייצור הכנסה שיש להוונה לעלות הנכס. שיטת הייחוס לא מפורטת בפקודה אלא יציר של פסקי דין והוראות ביצוע. </v>
      </c>
      <c r="P8" s="18" t="str">
        <f>'תגובות לטופס 3- ניר'!AC2</f>
        <v>1</v>
      </c>
      <c r="Q8" s="19" t="str">
        <f>'תגובות לטופס 3- ניר'!AD2</f>
        <v>אולי היא שלמה אבל לא לשאלה הזו, האמת שאני לא בטוח שהיא שלמה לאף שאלה.</v>
      </c>
      <c r="R8" s="18" t="str">
        <f>'תגובות לטופס 3- ניר'!AE2</f>
        <v>1</v>
      </c>
      <c r="S8" s="19" t="str">
        <f>'תגובות לטופס 3- ניר'!AF2</f>
        <v>עצרתי באמצע פשוט לא שם</v>
      </c>
      <c r="T8" s="18" t="str">
        <f>'תגובות לטופס 3- ניר'!AG2</f>
        <v>1</v>
      </c>
      <c r="U8" s="19" t="str">
        <f>'תגובות לטופס 3- ניר'!AH2</f>
        <v>לא שם</v>
      </c>
      <c r="V8" s="18" t="str">
        <f>'תגובות לטופס 3- ניר'!AI2</f>
        <v>1</v>
      </c>
      <c r="W8" s="19" t="str">
        <f>'תגובות לטופס 3- ניר'!AJ2</f>
        <v>לא!</v>
      </c>
      <c r="X8" s="19" t="str">
        <f>'תגובות לטופס 3- ניר'!AK2</f>
        <v>גם פה ניסיתי את AI הוצאת רונן מנתח את המקרה בצורה הרבה יותר טובה תבדקו</v>
      </c>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row>
    <row r="9" ht="123.0" customHeight="1">
      <c r="A9" s="8" t="s">
        <v>81</v>
      </c>
      <c r="B9" s="12" t="s">
        <v>82</v>
      </c>
      <c r="C9" s="10" t="s">
        <v>83</v>
      </c>
      <c r="D9" s="11" t="s">
        <v>84</v>
      </c>
      <c r="E9" s="35" t="s">
        <v>85</v>
      </c>
      <c r="F9" s="13" t="str">
        <f t="shared" si="1"/>
        <v>8/24/2026 18:18:38</v>
      </c>
      <c r="G9" s="36" t="s">
        <v>86</v>
      </c>
      <c r="H9" s="36" t="s">
        <v>87</v>
      </c>
      <c r="I9" s="37" t="s">
        <v>84</v>
      </c>
      <c r="J9" s="38" t="s">
        <v>85</v>
      </c>
      <c r="K9" s="16" t="s">
        <v>88</v>
      </c>
      <c r="L9" s="17" t="s">
        <v>89</v>
      </c>
      <c r="M9" s="18" t="str">
        <f>'תגובות לטופס 3- ניר'!AL2</f>
        <v>נכונה</v>
      </c>
      <c r="N9" s="18" t="str">
        <f>'תגובות לטופס 3- ניר'!AM2</f>
        <v>5</v>
      </c>
      <c r="O9" s="19" t="str">
        <f>'תגובות לטופס 3- ניר'!AN2</f>
        <v>לדעתי השאלה לא נשאלה בצורה נכונה ולא מדויקת. פעילות יצורית  המבחן זה יצירת מוצר חדש - הופכת חומר גלם למוצר, משנה את אופיו ומהותו, חיבור רכיבים ויצירת מוצר חדש, מבחן השינוי , מבחן של תהליכי ייצור, השבחת המוצר. </v>
      </c>
      <c r="P9" s="18" t="str">
        <f>'תגובות לטופס 3- ניר'!AO2</f>
        <v>6</v>
      </c>
      <c r="Q9" s="19" t="str">
        <f>'תגובות לטופס 3- ניר'!AP2</f>
        <v>לדעתי חסרים פסקי דין רלוונטיים לקביעה האם יצורי או לאו בסעיף 4 לתשובה היא עונה האם מדובר במפעל תעשייתי מה שהוא לא נשאל הוא נשאל האם מדובר בפעילות ייצורית זה אכן אחד התנאים להכנס לחוק אך לא נשאל אל כך.</v>
      </c>
      <c r="R9" s="18" t="str">
        <f>'תגובות לטופס 3- ניר'!AQ2</f>
        <v>3</v>
      </c>
      <c r="S9" s="19" t="str">
        <f>'תגובות לטופס 3- ניר'!AR2</f>
        <v>יש חזורים נוספים  המדברים יש החלטות מיסוי בנושא.</v>
      </c>
      <c r="T9" s="18" t="str">
        <f>'תגובות לטופס 3- ניר'!AS2</f>
        <v>6</v>
      </c>
      <c r="U9" s="19" t="str">
        <f>'תגובות לטופס 3- ניר'!AT2</f>
        <v>רלוונטית אך חלקית</v>
      </c>
      <c r="V9" s="18" t="str">
        <f>'תגובות לטופס 3- ניר'!AU2</f>
        <v>5</v>
      </c>
      <c r="W9" s="19" t="str">
        <f>'תגובות לטופס 3- ניר'!AV2</f>
        <v>היא נותנת כיוון אך היא לא מלאה</v>
      </c>
      <c r="X9" s="21" t="str">
        <f>'תגובות לטופס 3- ניר'!AW2</f>
        <v/>
      </c>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row>
    <row r="10" ht="66.0" customHeight="1">
      <c r="A10" s="8" t="s">
        <v>90</v>
      </c>
      <c r="B10" s="9" t="s">
        <v>91</v>
      </c>
      <c r="C10" s="10" t="s">
        <v>92</v>
      </c>
      <c r="D10" s="11" t="s">
        <v>93</v>
      </c>
      <c r="E10" s="9" t="s">
        <v>94</v>
      </c>
      <c r="F10" s="13" t="str">
        <f t="shared" si="1"/>
        <v>8/24/2026 18:18:38</v>
      </c>
      <c r="G10" s="15"/>
      <c r="H10" s="14" t="s">
        <v>95</v>
      </c>
      <c r="I10" s="15"/>
      <c r="J10" s="15"/>
      <c r="K10" s="16" t="s">
        <v>93</v>
      </c>
      <c r="L10" s="17" t="s">
        <v>94</v>
      </c>
      <c r="M10" s="18" t="str">
        <f>'תגובות לטופס 3- ניר'!AX2</f>
        <v>נכונה</v>
      </c>
      <c r="N10" s="18" t="str">
        <f>'תגובות לטופס 3- ניר'!AY2</f>
        <v>9</v>
      </c>
      <c r="O10" s="19" t="str">
        <f>'תגובות לטופס 3- ניר'!AZ2</f>
        <v/>
      </c>
      <c r="P10" s="18" t="str">
        <f>'תגובות לטופס 3- ניר'!BA2</f>
        <v>10</v>
      </c>
      <c r="Q10" s="19" t="str">
        <f>'תגובות לטופס 3- ניר'!BB2</f>
        <v/>
      </c>
      <c r="R10" s="18" t="str">
        <f>'תגובות לטופס 3- ניר'!BC2</f>
        <v>10</v>
      </c>
      <c r="S10" s="19" t="str">
        <f>'תגובות לטופס 3- ניר'!BD2</f>
        <v/>
      </c>
      <c r="T10" s="18" t="str">
        <f>'תגובות לטופס 3- ניר'!BE2</f>
        <v>10</v>
      </c>
      <c r="U10" s="19" t="str">
        <f>'תגובות לטופס 3- ניר'!BF2</f>
        <v/>
      </c>
      <c r="V10" s="18" t="str">
        <f>'תגובות לטופס 3- ניר'!BG2</f>
        <v>10</v>
      </c>
      <c r="W10" s="19" t="str">
        <f>'תגובות לטופס 3- ניר'!BH2</f>
        <v/>
      </c>
      <c r="X10" s="21" t="str">
        <f>'תגובות לטופס 3- ניר'!BI2</f>
        <v/>
      </c>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row>
    <row r="11" ht="66.0" customHeight="1">
      <c r="A11" s="8" t="s">
        <v>96</v>
      </c>
      <c r="B11" s="9" t="s">
        <v>97</v>
      </c>
      <c r="C11" s="10" t="s">
        <v>98</v>
      </c>
      <c r="D11" s="11" t="s">
        <v>99</v>
      </c>
      <c r="E11" s="9" t="s">
        <v>100</v>
      </c>
      <c r="F11" s="13" t="str">
        <f>'תגובות לטופס 4- צליל עמנואל סבר'!A3</f>
        <v>8/26/2026 12:26:15</v>
      </c>
      <c r="G11" s="14" t="s">
        <v>101</v>
      </c>
      <c r="H11" s="14" t="s">
        <v>102</v>
      </c>
      <c r="I11" s="15"/>
      <c r="J11" s="15"/>
      <c r="K11" s="16" t="s">
        <v>103</v>
      </c>
      <c r="L11" s="17" t="s">
        <v>100</v>
      </c>
      <c r="M11" s="18" t="str">
        <f>'תגובות לטופס 4- צליל עמנואל סבר'!B3</f>
        <v>נכונה</v>
      </c>
      <c r="N11" s="18" t="str">
        <f>'תגובות לטופס 4- צליל עמנואל סבר'!C3</f>
        <v>8</v>
      </c>
      <c r="O11" s="19" t="str">
        <f>'תגובות לטופס 4- צליל עמנואל סבר'!D3</f>
        <v>יש לבצע הבחנה בין בניה שהסתיימה לבניה בהתהוות) בנוגע לפסקה 2) .
במגרש לוקחים 23% על הרווח, אך ביחידת מגורים יש להבחין האם הבניה הסתיימה בשנה השוטפת ואז ידווח 23% מהרווח לבין מצב בו ההכנסה ממכירת הדירה דווחה והמס שולם ואז אין ערובה לבין מצב בו הבנייה טרם הסתיימה ואז הערובה היא 3%.</v>
      </c>
      <c r="P11" s="18" t="str">
        <f>'תגובות לטופס 4- צליל עמנואל סבר'!E3</f>
        <v>9</v>
      </c>
      <c r="Q11" s="19" t="str">
        <f>'תגובות לטופס 4- צליל עמנואל סבר'!F3</f>
        <v>ההבחנה בין בנייה שהסתיימה לבין בניה בהתהוות </v>
      </c>
      <c r="R11" s="18" t="str">
        <f>'תגובות לטופס 4- צליל עמנואל סבר'!G3</f>
        <v>10</v>
      </c>
      <c r="S11" s="19" t="str">
        <f>'תגובות לטופס 4- צליל עמנואל סבר'!H3</f>
        <v>רלוונטית מאוד</v>
      </c>
      <c r="T11" s="18" t="str">
        <f>'תגובות לטופס 4- צליל עמנואל סבר'!I3</f>
        <v>10</v>
      </c>
      <c r="U11" s="19" t="str">
        <f>'תגובות לטופס 4- צליל עמנואל סבר'!J3</f>
        <v/>
      </c>
      <c r="V11" s="18" t="str">
        <f>'תגובות לטופס 4- צליל עמנואל סבר'!K3</f>
        <v>9</v>
      </c>
      <c r="W11" s="19" t="str">
        <f>'תגובות לטופס 4- צליל עמנואל סבר'!L3</f>
        <v/>
      </c>
      <c r="X11" s="21" t="str">
        <f>'תגובות לטופס 4- צליל עמנואל סבר'!M3</f>
        <v>נרשם לעיל</v>
      </c>
    </row>
    <row r="12" ht="66.0" customHeight="1">
      <c r="A12" s="8" t="s">
        <v>104</v>
      </c>
      <c r="B12" s="9" t="s">
        <v>97</v>
      </c>
      <c r="C12" s="39" t="s">
        <v>105</v>
      </c>
      <c r="D12" s="11" t="s">
        <v>106</v>
      </c>
      <c r="E12" s="9" t="s">
        <v>107</v>
      </c>
      <c r="F12" s="13"/>
      <c r="G12" s="14" t="s">
        <v>108</v>
      </c>
      <c r="H12" s="14" t="s">
        <v>109</v>
      </c>
      <c r="I12" s="15"/>
      <c r="J12" s="15"/>
      <c r="K12" s="16" t="s">
        <v>110</v>
      </c>
      <c r="L12" s="17" t="s">
        <v>107</v>
      </c>
      <c r="M12" s="18" t="str">
        <f>'תגובות לטופס 4- צליל עמנואל סבר'!Z3</f>
        <v>נכונה</v>
      </c>
      <c r="N12" s="18" t="str">
        <f>'תגובות לטופס 4- צליל עמנואל סבר'!AA3</f>
        <v>9</v>
      </c>
      <c r="O12" s="19" t="str">
        <f>'תגובות לטופס 4- צליל עמנואל סבר'!AB3</f>
        <v>במנגנון הולדבק יש להתייחס אל חוזר 7/2015 עם פיצול התמורה למרכיב הוני ופירותי . </v>
      </c>
      <c r="P12" s="18" t="str">
        <f>'תגובות לטופס 4- צליל עמנואל סבר'!AC3</f>
        <v>8</v>
      </c>
      <c r="Q12" s="19" t="str">
        <f>'תגובות לטופס 4- צליל עמנואל סבר'!AD3</f>
        <v/>
      </c>
      <c r="R12" s="18" t="str">
        <f>'תגובות לטופס 4- צליל עמנואל סבר'!AE3</f>
        <v>8</v>
      </c>
      <c r="S12" s="19" t="str">
        <f>'תגובות לטופס 4- צליל עמנואל סבר'!AF3</f>
        <v>צירוף החוזר 5.2017 אולי פסיקה כמו חיים להמן</v>
      </c>
      <c r="T12" s="18" t="str">
        <f>'תגובות לטופס 4- צליל עמנואל סבר'!AG3</f>
        <v>8</v>
      </c>
      <c r="U12" s="19" t="str">
        <f>'תגובות לטופס 4- צליל עמנואל סבר'!AH3</f>
        <v>פיצול מרכיב התמורה בעסקת הולדבק </v>
      </c>
      <c r="V12" s="18" t="str">
        <f>'תגובות לטופס 4- צליל עמנואל סבר'!AI3</f>
        <v>7</v>
      </c>
      <c r="W12" s="19" t="str">
        <f>'תגובות לטופס 4- צליל עמנואל סבר'!AJ3</f>
        <v/>
      </c>
      <c r="X12" s="21" t="str">
        <f>'תגובות לטופס 4- צליל עמנואל סבר'!AK3</f>
        <v/>
      </c>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row>
    <row r="13" ht="66.0" customHeight="1">
      <c r="A13" s="8" t="s">
        <v>111</v>
      </c>
      <c r="B13" s="9" t="s">
        <v>97</v>
      </c>
      <c r="C13" s="10" t="s">
        <v>112</v>
      </c>
      <c r="D13" s="11" t="s">
        <v>113</v>
      </c>
      <c r="E13" s="9" t="s">
        <v>114</v>
      </c>
      <c r="F13" s="13"/>
      <c r="G13" s="14" t="s">
        <v>115</v>
      </c>
      <c r="H13" s="14" t="s">
        <v>116</v>
      </c>
      <c r="I13" s="15"/>
      <c r="J13" s="15"/>
      <c r="K13" s="16" t="s">
        <v>117</v>
      </c>
      <c r="L13" s="17" t="s">
        <v>114</v>
      </c>
      <c r="M13" s="18" t="str">
        <f>'תגובות לטופס 4- צליל עמנואל סבר'!AL3</f>
        <v>נכונה</v>
      </c>
      <c r="N13" s="18" t="str">
        <f>'תגובות לטופס 4- צליל עמנואל סבר'!AM3</f>
        <v>9</v>
      </c>
      <c r="O13" s="19" t="str">
        <f>'תגובות לטופס 4- צליל עמנואל סבר'!AN3</f>
        <v/>
      </c>
      <c r="P13" s="18" t="str">
        <f>'תגובות לטופס 4- צליל עמנואל סבר'!AO3</f>
        <v>10</v>
      </c>
      <c r="Q13" s="19" t="str">
        <f>'תגובות לטופס 4- צליל עמנואל סבר'!AP3</f>
        <v/>
      </c>
      <c r="R13" s="18" t="str">
        <f>'תגובות לטופס 4- צליל עמנואל סבר'!AQ3</f>
        <v>9</v>
      </c>
      <c r="S13" s="19" t="str">
        <f>'תגובות לטופס 4- צליל עמנואל סבר'!AR3</f>
        <v>צירוף פסקי דין רג'ואן   אברהם פלוס</v>
      </c>
      <c r="T13" s="18" t="str">
        <f>'תגובות לטופס 4- צליל עמנואל סבר'!AS3</f>
        <v>9</v>
      </c>
      <c r="U13" s="19" t="str">
        <f>'תגובות לטופס 4- צליל עמנואל סבר'!AT3</f>
        <v>אולי יש להוסיף חידוד בין תיקון מהותי לטכניון, כמו כן לעניין ההתיישנות</v>
      </c>
      <c r="V13" s="18" t="str">
        <f>'תגובות לטופס 4- צליל עמנואל סבר'!AU3</f>
        <v>10</v>
      </c>
      <c r="W13" s="19" t="str">
        <f>'תגובות לטופס 4- צליל עמנואל סבר'!AV3</f>
        <v/>
      </c>
      <c r="X13" s="21" t="str">
        <f>'תגובות לטופס 4- צליל עמנואל סבר'!AW3</f>
        <v>בתיקון טכני אין שינוי במועד ההגשה בעוד שבתיקון מהותי מועד התיקון הוא מועד הגשת הדוח</v>
      </c>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row>
    <row r="14" ht="66.0" customHeight="1">
      <c r="A14" s="8" t="s">
        <v>118</v>
      </c>
      <c r="B14" s="9" t="s">
        <v>97</v>
      </c>
      <c r="C14" s="10" t="s">
        <v>119</v>
      </c>
      <c r="D14" s="11" t="s">
        <v>120</v>
      </c>
      <c r="E14" s="10" t="s">
        <v>121</v>
      </c>
      <c r="F14" s="13"/>
      <c r="G14" s="14" t="s">
        <v>122</v>
      </c>
      <c r="H14" s="14" t="s">
        <v>123</v>
      </c>
      <c r="I14" s="15"/>
      <c r="J14" s="15"/>
      <c r="K14" s="16" t="s">
        <v>124</v>
      </c>
      <c r="L14" s="16" t="s">
        <v>121</v>
      </c>
      <c r="M14" s="18" t="str">
        <f>'תגובות לטופס 4- צליל עמנואל סבר'!AX3</f>
        <v>נכונה</v>
      </c>
      <c r="N14" s="18" t="str">
        <f>'תגובות לטופס 4- צליל עמנואל סבר'!AY3</f>
        <v>9</v>
      </c>
      <c r="O14" s="19" t="str">
        <f>'תגובות לטופס 4- צליל עמנואל סבר'!AZ3</f>
        <v>יש לפרט כי הנתונים לא מספקים. האם הנישום עמד בכל הקריטריונים לקבלת המסלול המופחת? האם יש בידו רישיון ספק שירות? האם לא מדובר בהכנסה מעסק? האם מסר הודעה על כך לפקיד השומה?</v>
      </c>
      <c r="P14" s="18" t="str">
        <f>'תגובות לטופס 4- צליל עמנואל סבר'!BA3</f>
        <v>9</v>
      </c>
      <c r="Q14" s="19" t="str">
        <f>'תגובות לטופס 4- צליל עמנואל סבר'!BB3</f>
        <v>אריתמטית התשובה נכונה.  הייתי מוסיפה שאין לו זכאות למסלול הפטור , כיוון שמדובר בפטור מתקפל והוא נוגס בכולו</v>
      </c>
      <c r="R14" s="18" t="str">
        <f>'תגובות לטופס 4- צליל עמנואל סבר'!BC3</f>
        <v>10</v>
      </c>
      <c r="S14" s="19" t="str">
        <f>'תגובות לטופס 4- צליל עמנואל סבר'!BD3</f>
        <v/>
      </c>
      <c r="T14" s="18" t="str">
        <f>'תגובות לטופס 4- צליל עמנואל סבר'!BE3</f>
        <v>10</v>
      </c>
      <c r="U14" s="19" t="str">
        <f>'תגובות לטופס 4- צליל עמנואל סבר'!BF3</f>
        <v/>
      </c>
      <c r="V14" s="18" t="str">
        <f>'תגובות לטופס 4- צליל עמנואל סבר'!BG3</f>
        <v>10</v>
      </c>
      <c r="W14" s="19" t="str">
        <f>'תגובות לטופס 4- צליל עמנואל סבר'!BH3</f>
        <v/>
      </c>
      <c r="X14" s="21" t="str">
        <f>'תגובות לטופס 4- צליל עמנואל סבר'!BI3</f>
        <v/>
      </c>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row>
    <row r="15" ht="276.0" customHeight="1">
      <c r="A15" s="8" t="s">
        <v>125</v>
      </c>
      <c r="B15" s="9" t="s">
        <v>126</v>
      </c>
      <c r="C15" s="39" t="s">
        <v>127</v>
      </c>
      <c r="D15" s="11" t="s">
        <v>128</v>
      </c>
      <c r="E15" s="9" t="s">
        <v>129</v>
      </c>
      <c r="F15" s="13" t="str">
        <f>#REF!</f>
        <v>#REF!</v>
      </c>
      <c r="G15" s="40" t="s">
        <v>130</v>
      </c>
      <c r="H15" s="40" t="s">
        <v>131</v>
      </c>
      <c r="I15" s="40"/>
      <c r="J15" s="40"/>
      <c r="K15" s="16" t="s">
        <v>128</v>
      </c>
      <c r="L15" s="17" t="s">
        <v>132</v>
      </c>
      <c r="M15" s="18" t="str">
        <f>'תגובות לטופס 6 תום'!N2</f>
        <v>נכונה</v>
      </c>
      <c r="N15" s="18" t="str">
        <f>'תגובות לטופס 6 תום'!O2</f>
        <v>10</v>
      </c>
      <c r="O15" s="19" t="str">
        <f>'תגובות לטופס 6 תום'!P2</f>
        <v/>
      </c>
      <c r="P15" s="18" t="str">
        <f>'תגובות לטופס 6 תום'!Q2</f>
        <v>10</v>
      </c>
      <c r="Q15" s="19" t="str">
        <f>'תגובות לטופס 6 תום'!R2</f>
        <v/>
      </c>
      <c r="R15" s="18" t="str">
        <f>'תגובות לטופס 6 תום'!S2</f>
        <v>6</v>
      </c>
      <c r="S15" s="41" t="str">
        <f>'תגובות לטופס 6 תום'!T2</f>
        <v>המודל ציין בתשובה את הוראת הביצוע אך לא ציין אותה במסמכים.</v>
      </c>
      <c r="T15" s="18" t="str">
        <f>'תגובות לטופס 6 תום'!U2</f>
        <v>10</v>
      </c>
      <c r="U15" s="19" t="str">
        <f>'תגובות לטופס 6 תום'!V2</f>
        <v/>
      </c>
      <c r="V15" s="18" t="str">
        <f>'תגובות לטופס 6 תום'!W2</f>
        <v>10</v>
      </c>
      <c r="W15" s="19" t="str">
        <f>'תגובות לטופס 6 תום'!X2</f>
        <v/>
      </c>
      <c r="X15" s="21" t="str">
        <f>'תגובות לטופס 6 תום'!Y2</f>
        <v/>
      </c>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row>
    <row r="16" ht="105.0" customHeight="1">
      <c r="A16" s="8" t="s">
        <v>133</v>
      </c>
      <c r="B16" s="12" t="s">
        <v>134</v>
      </c>
      <c r="C16" s="10" t="s">
        <v>135</v>
      </c>
      <c r="D16" s="29" t="s">
        <v>136</v>
      </c>
      <c r="E16" s="42" t="s">
        <v>137</v>
      </c>
      <c r="F16" s="13" t="str">
        <f t="shared" ref="F16:F18" si="2">F15</f>
        <v>#REF!</v>
      </c>
      <c r="G16" s="43" t="s">
        <v>138</v>
      </c>
      <c r="H16" s="44" t="s">
        <v>139</v>
      </c>
      <c r="I16" s="45" t="s">
        <v>140</v>
      </c>
      <c r="J16" s="46" t="s">
        <v>137</v>
      </c>
      <c r="K16" s="16" t="s">
        <v>141</v>
      </c>
      <c r="L16" s="17" t="s">
        <v>142</v>
      </c>
      <c r="M16" s="18" t="str">
        <f>'תגובות לטופס 6 תום'!Z2</f>
        <v>שגויה</v>
      </c>
      <c r="N16" s="18" t="str">
        <f>'תגובות לטופס 6 תום'!AA2</f>
        <v>4</v>
      </c>
      <c r="O16" s="28" t="str">
        <f>'תגובות לטופס 6 תום'!AB2</f>
        <v>לדעתי התשובה אינה מדויקת - במקרה של הימנעות, אני חושב שאין לקלוט את הדוח.</v>
      </c>
      <c r="P16" s="18" t="str">
        <f>'תגובות לטופס 6 תום'!AC2</f>
        <v>4</v>
      </c>
      <c r="Q16" s="19" t="str">
        <f>'תגובות לטופס 6 תום'!AD2</f>
        <v/>
      </c>
      <c r="R16" s="18" t="str">
        <f>'תגובות לטופס 6 תום'!AE2</f>
        <v>10</v>
      </c>
      <c r="S16" s="19" t="str">
        <f>'תגובות לטופס 6 תום'!AF2</f>
        <v/>
      </c>
      <c r="T16" s="18" t="str">
        <f>'תגובות לטופס 6 תום'!AG2</f>
        <v>4</v>
      </c>
      <c r="U16" s="19" t="str">
        <f>'תגובות לטופס 6 תום'!AH2</f>
        <v/>
      </c>
      <c r="V16" s="18" t="str">
        <f>'תגובות לטופס 6 תום'!AI2</f>
        <v>4</v>
      </c>
      <c r="W16" s="19" t="str">
        <f>'תגובות לטופס 6 תום'!AJ2</f>
        <v/>
      </c>
      <c r="X16" s="21" t="str">
        <f>'תגובות לטופס 6 תום'!AK2</f>
        <v/>
      </c>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row>
    <row r="17" ht="66.0" customHeight="1">
      <c r="A17" s="8" t="s">
        <v>143</v>
      </c>
      <c r="B17" s="9" t="s">
        <v>126</v>
      </c>
      <c r="C17" s="10" t="s">
        <v>144</v>
      </c>
      <c r="D17" s="11" t="s">
        <v>145</v>
      </c>
      <c r="E17" s="9" t="s">
        <v>146</v>
      </c>
      <c r="F17" s="13" t="str">
        <f t="shared" si="2"/>
        <v>#REF!</v>
      </c>
      <c r="G17" s="40"/>
      <c r="H17" s="40" t="s">
        <v>147</v>
      </c>
      <c r="I17" s="40"/>
      <c r="J17" s="40"/>
      <c r="K17" s="16" t="s">
        <v>145</v>
      </c>
      <c r="L17" s="17" t="s">
        <v>146</v>
      </c>
      <c r="M17" s="18" t="str">
        <f>'תגובות לטופס 6 תום'!AL2</f>
        <v>נכונה</v>
      </c>
      <c r="N17" s="18" t="str">
        <f>'תגובות לטופס 6 תום'!AM2</f>
        <v>10</v>
      </c>
      <c r="O17" s="19" t="str">
        <f>'תגובות לטופס 6 תום'!AN2</f>
        <v/>
      </c>
      <c r="P17" s="18" t="str">
        <f>'תגובות לטופס 6 תום'!AO2</f>
        <v>10</v>
      </c>
      <c r="Q17" s="19" t="str">
        <f>'תגובות לטופס 6 תום'!AP2</f>
        <v/>
      </c>
      <c r="R17" s="18" t="str">
        <f>'תגובות לטופס 6 תום'!AQ2</f>
        <v>10</v>
      </c>
      <c r="S17" s="19" t="str">
        <f>'תגובות לטופס 6 תום'!AR2</f>
        <v/>
      </c>
      <c r="T17" s="18" t="str">
        <f>'תגובות לטופס 6 תום'!AS2</f>
        <v>10</v>
      </c>
      <c r="U17" s="19" t="str">
        <f>'תגובות לטופס 6 תום'!AT2</f>
        <v/>
      </c>
      <c r="V17" s="18" t="str">
        <f>'תגובות לטופס 6 תום'!AU2</f>
        <v>10</v>
      </c>
      <c r="W17" s="19" t="str">
        <f>'תגובות לטופס 6 תום'!AV2</f>
        <v/>
      </c>
      <c r="X17" s="21" t="str">
        <f>'תגובות לטופס 6 תום'!AW2</f>
        <v/>
      </c>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row>
    <row r="18" ht="66.0" customHeight="1">
      <c r="A18" s="8" t="s">
        <v>148</v>
      </c>
      <c r="B18" s="9" t="s">
        <v>126</v>
      </c>
      <c r="C18" s="10" t="s">
        <v>149</v>
      </c>
      <c r="D18" s="11" t="s">
        <v>150</v>
      </c>
      <c r="E18" s="9" t="s">
        <v>151</v>
      </c>
      <c r="F18" s="13" t="str">
        <f t="shared" si="2"/>
        <v>#REF!</v>
      </c>
      <c r="G18" s="40"/>
      <c r="H18" s="40" t="s">
        <v>147</v>
      </c>
      <c r="I18" s="40"/>
      <c r="J18" s="40"/>
      <c r="K18" s="16" t="s">
        <v>150</v>
      </c>
      <c r="L18" s="17" t="s">
        <v>151</v>
      </c>
      <c r="M18" s="18" t="str">
        <f>'תגובות לטופס 6 תום'!AX2</f>
        <v>נכונה</v>
      </c>
      <c r="N18" s="18" t="str">
        <f>'תגובות לטופס 6 תום'!AY2</f>
        <v>10</v>
      </c>
      <c r="O18" s="19" t="str">
        <f>'תגובות לטופס 6 תום'!AZ2</f>
        <v/>
      </c>
      <c r="P18" s="18" t="str">
        <f>'תגובות לטופס 6 תום'!BA2</f>
        <v>10</v>
      </c>
      <c r="Q18" s="19" t="str">
        <f>'תגובות לטופס 6 תום'!BB2</f>
        <v/>
      </c>
      <c r="R18" s="18" t="str">
        <f>'תגובות לטופס 6 תום'!BC2</f>
        <v>10</v>
      </c>
      <c r="S18" s="19" t="str">
        <f>'תגובות לטופס 6 תום'!BD2</f>
        <v/>
      </c>
      <c r="T18" s="18" t="str">
        <f>'תגובות לטופס 6 תום'!BE2</f>
        <v>10</v>
      </c>
      <c r="U18" s="19" t="str">
        <f>'תגובות לטופס 6 תום'!BF2</f>
        <v/>
      </c>
      <c r="V18" s="18" t="str">
        <f>'תגובות לטופס 6 תום'!BG2</f>
        <v>10</v>
      </c>
      <c r="W18" s="19" t="str">
        <f>'תגובות לטופס 6 תום'!BH2</f>
        <v/>
      </c>
      <c r="X18" s="21" t="str">
        <f>'תגובות לטופס 6 תום'!BI2</f>
        <v/>
      </c>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row>
    <row r="19" ht="66.0" customHeight="1">
      <c r="A19" s="8" t="s">
        <v>152</v>
      </c>
      <c r="B19" s="9" t="s">
        <v>153</v>
      </c>
      <c r="C19" s="10" t="s">
        <v>154</v>
      </c>
      <c r="D19" s="11" t="s">
        <v>155</v>
      </c>
      <c r="E19" s="9" t="s">
        <v>156</v>
      </c>
      <c r="F19" s="13" t="str">
        <f>'תגובות לטופס 8 מיכאל'!A2</f>
        <v>8/20/2026 11:34:01</v>
      </c>
      <c r="G19" s="40"/>
      <c r="H19" s="40" t="s">
        <v>147</v>
      </c>
      <c r="I19" s="40"/>
      <c r="J19" s="40"/>
      <c r="K19" s="16" t="s">
        <v>155</v>
      </c>
      <c r="L19" s="17" t="s">
        <v>156</v>
      </c>
      <c r="M19" s="18" t="str">
        <f>'תגובות לטופס 8 מיכאל'!B2</f>
        <v>נכונה</v>
      </c>
      <c r="N19" s="18" t="str">
        <f>'תגובות לטופס 8 מיכאל'!C2</f>
        <v>10</v>
      </c>
      <c r="O19" s="19" t="str">
        <f>'תגובות לטופס 8 מיכאל'!D2</f>
        <v/>
      </c>
      <c r="P19" s="18" t="str">
        <f>'תגובות לטופס 8 מיכאל'!E2</f>
        <v>10</v>
      </c>
      <c r="Q19" s="19" t="str">
        <f>'תגובות לטופס 8 מיכאל'!F2</f>
        <v/>
      </c>
      <c r="R19" s="18" t="str">
        <f>'תגובות לטופס 8 מיכאל'!G2</f>
        <v>10</v>
      </c>
      <c r="S19" s="19" t="str">
        <f>'תגובות לטופס 8 מיכאל'!H2</f>
        <v/>
      </c>
      <c r="T19" s="18" t="str">
        <f>'תגובות לטופס 8 מיכאל'!I2</f>
        <v>9</v>
      </c>
      <c r="U19" s="19" t="str">
        <f>'תגובות לטופס 8 מיכאל'!J2</f>
        <v>עונה על השאלה במדויק</v>
      </c>
      <c r="V19" s="18" t="str">
        <f>'תגובות לטופס 8 מיכאל'!K2</f>
        <v>10</v>
      </c>
      <c r="W19" s="19" t="str">
        <f>'תגובות לטופס 8 מיכאל'!L2</f>
        <v>כן</v>
      </c>
      <c r="X19" s="21" t="str">
        <f>'תגובות לטופס 8 מיכאל'!M2</f>
        <v/>
      </c>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row>
    <row r="20" ht="110.25" customHeight="1">
      <c r="A20" s="8" t="s">
        <v>157</v>
      </c>
      <c r="B20" s="12" t="s">
        <v>158</v>
      </c>
      <c r="C20" s="10" t="s">
        <v>159</v>
      </c>
      <c r="D20" s="11" t="s">
        <v>160</v>
      </c>
      <c r="E20" s="47" t="s">
        <v>161</v>
      </c>
      <c r="F20" s="13" t="str">
        <f t="shared" ref="F20:F21" si="3">F19</f>
        <v>8/20/2026 11:34:01</v>
      </c>
      <c r="G20" s="43" t="s">
        <v>162</v>
      </c>
      <c r="H20" s="44" t="s">
        <v>163</v>
      </c>
      <c r="I20" s="37" t="s">
        <v>164</v>
      </c>
      <c r="J20" s="48" t="s">
        <v>165</v>
      </c>
      <c r="K20" s="16" t="s">
        <v>166</v>
      </c>
      <c r="L20" s="17" t="s">
        <v>167</v>
      </c>
      <c r="M20" s="18" t="str">
        <f>'תגובות לטופס 8 מיכאל'!N2</f>
        <v>נכונה</v>
      </c>
      <c r="N20" s="18" t="str">
        <f>'תגובות לטופס 8 מיכאל'!O2</f>
        <v>7</v>
      </c>
      <c r="O20" s="41" t="str">
        <f>'תגובות לטופס 8 מיכאל'!P2</f>
        <v>החלק לגבי תחולת 8ב אינו נכון. 8ב חל על הכנסות מ 2(6)</v>
      </c>
      <c r="P20" s="18" t="str">
        <f>'תגובות לטופס 8 מיכאל'!Q2</f>
        <v>7</v>
      </c>
      <c r="Q20" s="41" t="str">
        <f>'תגובות לטופס 8 מיכאל'!R2</f>
        <v>אין התייחסות להבדלים בין חברות ליחידים</v>
      </c>
      <c r="R20" s="18" t="str">
        <f>'תגובות לטופס 8 מיכאל'!S2</f>
        <v>9</v>
      </c>
      <c r="S20" s="19" t="str">
        <f>'תגובות לטופס 8 מיכאל'!T2</f>
        <v/>
      </c>
      <c r="T20" s="18" t="str">
        <f>'תגובות לטופס 8 מיכאל'!U2</f>
        <v>8</v>
      </c>
      <c r="U20" s="19" t="str">
        <f>'תגובות לטופס 8 מיכאל'!V2</f>
        <v/>
      </c>
      <c r="V20" s="18" t="str">
        <f>'תגובות לטופס 8 מיכאל'!W2</f>
        <v>8</v>
      </c>
      <c r="W20" s="19" t="str">
        <f>'תגובות לטופס 8 מיכאל'!X2</f>
        <v/>
      </c>
      <c r="X20" s="21" t="str">
        <f>'תגובות לטופס 8 מיכאל'!Y2</f>
        <v/>
      </c>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row>
    <row r="21" ht="66.0" customHeight="1">
      <c r="A21" s="8" t="s">
        <v>168</v>
      </c>
      <c r="B21" s="9" t="s">
        <v>153</v>
      </c>
      <c r="C21" s="10" t="s">
        <v>169</v>
      </c>
      <c r="D21" s="11" t="s">
        <v>170</v>
      </c>
      <c r="E21" s="12" t="s">
        <v>171</v>
      </c>
      <c r="F21" s="13" t="str">
        <f t="shared" si="3"/>
        <v>8/20/2026 11:34:01</v>
      </c>
      <c r="G21" s="49" t="s">
        <v>172</v>
      </c>
      <c r="H21" s="40" t="s">
        <v>173</v>
      </c>
      <c r="I21" s="50" t="s">
        <v>174</v>
      </c>
      <c r="J21" s="50" t="s">
        <v>175</v>
      </c>
      <c r="K21" s="16" t="s">
        <v>176</v>
      </c>
      <c r="L21" s="17" t="s">
        <v>171</v>
      </c>
      <c r="M21" s="18" t="str">
        <f>'תגובות לטופס 8 מיכאל'!Z2</f>
        <v>נכונה</v>
      </c>
      <c r="N21" s="18" t="str">
        <f>'תגובות לטופס 8 מיכאל'!AA2</f>
        <v>10</v>
      </c>
      <c r="O21" s="19" t="str">
        <f>'תגובות לטופס 8 מיכאל'!AB2</f>
        <v/>
      </c>
      <c r="P21" s="18" t="str">
        <f>'תגובות לטופס 8 מיכאל'!AC2</f>
        <v>9</v>
      </c>
      <c r="Q21" s="28" t="str">
        <f>'תגובות לטופס 8 מיכאל'!AD2</f>
        <v>אפשר להוסיף התייחסות לאופן הטיפול הטכני</v>
      </c>
      <c r="R21" s="18" t="str">
        <f>'תגובות לטופס 8 מיכאל'!AE2</f>
        <v>10</v>
      </c>
      <c r="S21" s="19" t="str">
        <f>'תגובות לטופס 8 מיכאל'!AF2</f>
        <v/>
      </c>
      <c r="T21" s="18" t="str">
        <f>'תגובות לטופס 8 מיכאל'!AG2</f>
        <v>10</v>
      </c>
      <c r="U21" s="19" t="str">
        <f>'תגובות לטופס 8 מיכאל'!AH2</f>
        <v/>
      </c>
      <c r="V21" s="18" t="str">
        <f>'תגובות לטופס 8 מיכאל'!AI2</f>
        <v>10</v>
      </c>
      <c r="W21" s="19" t="str">
        <f>'תגובות לטופס 8 מיכאל'!AJ2</f>
        <v/>
      </c>
      <c r="X21" s="21" t="str">
        <f>'תגובות לטופס 8 מיכאל'!AK2</f>
        <v/>
      </c>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row>
    <row r="22" ht="98.25" customHeight="1">
      <c r="A22" s="8" t="s">
        <v>177</v>
      </c>
      <c r="B22" s="12" t="s">
        <v>178</v>
      </c>
      <c r="C22" s="10" t="s">
        <v>179</v>
      </c>
      <c r="D22" s="29" t="s">
        <v>180</v>
      </c>
      <c r="E22" s="42" t="s">
        <v>181</v>
      </c>
      <c r="F22" s="13" t="str">
        <f>'תגובות לטופס 9 רוני'!A2</f>
        <v>8/18/2026 17:36:42</v>
      </c>
      <c r="G22" s="43" t="s">
        <v>182</v>
      </c>
      <c r="H22" s="51" t="s">
        <v>183</v>
      </c>
      <c r="I22" s="45" t="s">
        <v>184</v>
      </c>
      <c r="J22" s="46" t="s">
        <v>185</v>
      </c>
      <c r="K22" s="32" t="s">
        <v>186</v>
      </c>
      <c r="L22" s="17" t="s">
        <v>187</v>
      </c>
      <c r="M22" s="18" t="str">
        <f>'תגובות לטופס 9 רוני'!B2</f>
        <v>שגויה</v>
      </c>
      <c r="N22" s="18" t="str">
        <f>'תגובות לטופס 9 רוני'!C2</f>
        <v>1</v>
      </c>
      <c r="O22" s="52" t="str">
        <f>'תגובות לטופס 9 רוני'!D2</f>
        <v>התשובה מתייחסת להעברת כספים מהחברה לתושב חוץ. ברגע שחברה זרה רוכשת מניות של חברה ישראלית הגורם המנפיק הוא המחלקה המקצועית ולא משרדי השומה. במקרה שלנו כנראה לא חלה חובת ניכוי מס במקור לפי 97ב.</v>
      </c>
      <c r="P22" s="18" t="str">
        <f>'תגובות לטופס 9 רוני'!E2</f>
        <v>1</v>
      </c>
      <c r="Q22" s="52" t="str">
        <f>'תגובות לטופס 9 רוני'!F2</f>
        <v>תשובה לא נכונה.</v>
      </c>
      <c r="R22" s="18" t="str">
        <f>'תגובות לטופס 9 רוני'!G2</f>
        <v>1</v>
      </c>
      <c r="S22" s="52" t="str">
        <f>'תגובות לטופס 9 רוני'!H2</f>
        <v>הוראת הביצוע לא רלוונטית.</v>
      </c>
      <c r="T22" s="18" t="str">
        <f>'תגובות לטופס 9 רוני'!I2</f>
        <v>1</v>
      </c>
      <c r="U22" s="52" t="str">
        <f>'תגובות לטופס 9 רוני'!J2</f>
        <v>לא נכונה.</v>
      </c>
      <c r="V22" s="18" t="str">
        <f>'תגובות לטופס 9 רוני'!K2</f>
        <v>1</v>
      </c>
      <c r="W22" s="19" t="str">
        <f>'תגובות לטופס 9 רוני'!L2</f>
        <v>ההסברים לא קשורים לשאלה.</v>
      </c>
      <c r="X22" s="21"/>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row>
    <row r="23" ht="66.0" customHeight="1">
      <c r="A23" s="8" t="s">
        <v>188</v>
      </c>
      <c r="B23" s="9" t="s">
        <v>189</v>
      </c>
      <c r="C23" s="10" t="s">
        <v>190</v>
      </c>
      <c r="D23" s="11" t="s">
        <v>191</v>
      </c>
      <c r="E23" s="9" t="s">
        <v>192</v>
      </c>
      <c r="F23" s="13" t="str">
        <f>#REF!</f>
        <v>#REF!</v>
      </c>
      <c r="G23" s="40"/>
      <c r="H23" s="40" t="s">
        <v>147</v>
      </c>
      <c r="I23" s="40"/>
      <c r="J23" s="40"/>
      <c r="K23" s="16" t="s">
        <v>191</v>
      </c>
      <c r="L23" s="17" t="s">
        <v>192</v>
      </c>
      <c r="M23" s="18" t="str">
        <f>'תגובות לטופס 9 רוני'!AL2</f>
        <v>נכונה</v>
      </c>
      <c r="N23" s="18" t="str">
        <f>'תגובות לטופס 9 רוני'!AM2</f>
        <v>10</v>
      </c>
      <c r="O23" s="19" t="str">
        <f>'תגובות לטופס 9 רוני'!AN2</f>
        <v/>
      </c>
      <c r="P23" s="18" t="str">
        <f>'תגובות לטופס 9 רוני'!AO2</f>
        <v>10</v>
      </c>
      <c r="Q23" s="19" t="str">
        <f>'תגובות לטופס 9 רוני'!AP2</f>
        <v/>
      </c>
      <c r="R23" s="18" t="str">
        <f>'תגובות לטופס 9 רוני'!AQ2</f>
        <v>10</v>
      </c>
      <c r="S23" s="19" t="str">
        <f>'תגובות לטופס 9 רוני'!AR2</f>
        <v/>
      </c>
      <c r="T23" s="18" t="str">
        <f>'תגובות לטופס 9 רוני'!AS2</f>
        <v>10</v>
      </c>
      <c r="U23" s="19" t="str">
        <f>'תגובות לטופס 9 רוני'!AT2</f>
        <v/>
      </c>
      <c r="V23" s="18" t="str">
        <f>'תגובות לטופס 9 רוני'!AU2</f>
        <v>10</v>
      </c>
      <c r="W23" s="19" t="str">
        <f>'תגובות לטופס 9 רוני'!AV2</f>
        <v>אפשר להסתמך.</v>
      </c>
      <c r="X23" s="21"/>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row>
    <row r="24" ht="66.0" customHeight="1">
      <c r="A24" s="8" t="s">
        <v>193</v>
      </c>
      <c r="B24" s="9" t="s">
        <v>189</v>
      </c>
      <c r="C24" s="10" t="s">
        <v>194</v>
      </c>
      <c r="D24" s="11" t="s">
        <v>195</v>
      </c>
      <c r="E24" s="9" t="s">
        <v>196</v>
      </c>
      <c r="F24" s="13" t="str">
        <f>F23</f>
        <v>#REF!</v>
      </c>
      <c r="G24" s="40"/>
      <c r="H24" s="40" t="s">
        <v>147</v>
      </c>
      <c r="I24" s="40"/>
      <c r="J24" s="40"/>
      <c r="K24" s="16" t="s">
        <v>195</v>
      </c>
      <c r="L24" s="17" t="s">
        <v>196</v>
      </c>
      <c r="M24" s="18" t="str">
        <f>'תגובות לטופס 9 רוני'!AX2</f>
        <v>נכונה</v>
      </c>
      <c r="N24" s="18" t="str">
        <f>'תגובות לטופס 9 רוני'!AY2</f>
        <v>10</v>
      </c>
      <c r="O24" s="19" t="str">
        <f>'תגובות לטופס 9 רוני'!AZ2</f>
        <v/>
      </c>
      <c r="P24" s="18" t="str">
        <f>'תגובות לטופס 9 רוני'!BA2</f>
        <v>10</v>
      </c>
      <c r="Q24" s="19" t="str">
        <f>'תגובות לטופס 9 רוני'!BB2</f>
        <v/>
      </c>
      <c r="R24" s="18" t="str">
        <f>'תגובות לטופס 9 רוני'!BC2</f>
        <v>10</v>
      </c>
      <c r="S24" s="19" t="str">
        <f>'תגובות לטופס 9 רוני'!BD2</f>
        <v/>
      </c>
      <c r="T24" s="18" t="str">
        <f>'תגובות לטופס 9 רוני'!BE2</f>
        <v>10</v>
      </c>
      <c r="U24" s="19" t="str">
        <f>'תגובות לטופס 9 רוני'!BF2</f>
        <v/>
      </c>
      <c r="V24" s="18" t="str">
        <f>'תגובות לטופס 9 רוני'!BG2</f>
        <v>10</v>
      </c>
      <c r="W24" s="19" t="str">
        <f>'תגובות לטופס 9 רוני'!BH2</f>
        <v>אפשר להסתמך.</v>
      </c>
      <c r="X24" s="21"/>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row>
    <row r="25" ht="66.0" customHeight="1">
      <c r="A25" s="53" t="s">
        <v>197</v>
      </c>
      <c r="B25" s="17" t="s">
        <v>198</v>
      </c>
      <c r="C25" s="16" t="s">
        <v>199</v>
      </c>
      <c r="D25" s="54" t="s">
        <v>200</v>
      </c>
      <c r="E25" s="55" t="s">
        <v>201</v>
      </c>
      <c r="F25" s="56"/>
      <c r="G25" s="54" t="s">
        <v>202</v>
      </c>
      <c r="H25" s="16" t="s">
        <v>203</v>
      </c>
      <c r="I25" s="57" t="s">
        <v>204</v>
      </c>
      <c r="J25" s="57" t="s">
        <v>205</v>
      </c>
      <c r="K25" s="16" t="s">
        <v>203</v>
      </c>
      <c r="L25" s="16" t="s">
        <v>203</v>
      </c>
      <c r="V25" s="56"/>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row>
    <row r="26" ht="66.0" customHeight="1">
      <c r="A26" s="53" t="s">
        <v>206</v>
      </c>
      <c r="B26" s="17" t="s">
        <v>207</v>
      </c>
      <c r="C26" s="16" t="s">
        <v>208</v>
      </c>
      <c r="D26" s="54" t="s">
        <v>209</v>
      </c>
      <c r="E26" s="58" t="s">
        <v>210</v>
      </c>
      <c r="F26" s="56"/>
      <c r="G26" s="54" t="s">
        <v>211</v>
      </c>
      <c r="H26" s="16" t="s">
        <v>203</v>
      </c>
      <c r="I26" s="57" t="s">
        <v>212</v>
      </c>
      <c r="J26" s="57" t="s">
        <v>213</v>
      </c>
      <c r="K26" s="16" t="s">
        <v>203</v>
      </c>
      <c r="L26" s="16" t="s">
        <v>203</v>
      </c>
      <c r="V26" s="56"/>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row>
    <row r="27" ht="136.5" customHeight="1">
      <c r="B27" s="17" t="s">
        <v>214</v>
      </c>
      <c r="C27" s="59" t="s">
        <v>215</v>
      </c>
      <c r="D27" s="60" t="s">
        <v>216</v>
      </c>
      <c r="E27" s="61" t="s">
        <v>217</v>
      </c>
      <c r="G27" s="62" t="s">
        <v>218</v>
      </c>
      <c r="H27" s="63"/>
      <c r="I27" s="57" t="s">
        <v>219</v>
      </c>
      <c r="J27" s="64" t="s">
        <v>220</v>
      </c>
      <c r="K27" s="65"/>
      <c r="L27" s="66"/>
      <c r="X27" s="56"/>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row>
    <row r="28" ht="76.5" customHeight="1">
      <c r="B28" s="17" t="s">
        <v>214</v>
      </c>
      <c r="C28" s="59" t="s">
        <v>221</v>
      </c>
      <c r="D28" s="54" t="s">
        <v>222</v>
      </c>
      <c r="E28" s="61" t="s">
        <v>223</v>
      </c>
      <c r="G28" s="62" t="s">
        <v>224</v>
      </c>
      <c r="H28" s="63"/>
      <c r="I28" s="57" t="s">
        <v>225</v>
      </c>
      <c r="J28" s="64" t="s">
        <v>226</v>
      </c>
      <c r="K28" s="65"/>
      <c r="L28" s="66"/>
      <c r="X28" s="56"/>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row>
    <row r="29" ht="15.75" customHeight="1">
      <c r="C29" s="65"/>
      <c r="D29" s="65"/>
      <c r="E29" s="66"/>
      <c r="H29" s="63"/>
      <c r="I29" s="63"/>
      <c r="J29" s="63"/>
      <c r="K29" s="65"/>
      <c r="L29" s="66"/>
      <c r="X29" s="56"/>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row>
    <row r="30" ht="15.75" customHeight="1">
      <c r="C30" s="65"/>
      <c r="D30" s="65"/>
      <c r="E30" s="66"/>
      <c r="G30" s="63"/>
      <c r="H30" s="63"/>
      <c r="I30" s="63"/>
      <c r="J30" s="63"/>
      <c r="K30" s="65"/>
      <c r="L30" s="66"/>
      <c r="X30" s="56"/>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row>
    <row r="31" ht="15.75" customHeight="1">
      <c r="C31" s="65"/>
      <c r="D31" s="65"/>
      <c r="E31" s="66"/>
      <c r="G31" s="63"/>
      <c r="H31" s="63"/>
      <c r="I31" s="63"/>
      <c r="J31" s="63"/>
      <c r="K31" s="65"/>
      <c r="L31" s="66"/>
      <c r="X31" s="56"/>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row>
    <row r="32" ht="15.75" customHeight="1">
      <c r="C32" s="65"/>
      <c r="D32" s="65"/>
      <c r="E32" s="66"/>
      <c r="G32" s="63"/>
      <c r="H32" s="63"/>
      <c r="I32" s="63"/>
      <c r="J32" s="63"/>
      <c r="K32" s="65"/>
      <c r="L32" s="66"/>
      <c r="X32" s="56"/>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row>
    <row r="33" ht="15.75" customHeight="1">
      <c r="C33" s="65"/>
      <c r="D33" s="65"/>
      <c r="E33" s="66"/>
      <c r="G33" s="63"/>
      <c r="H33" s="63"/>
      <c r="I33" s="63"/>
      <c r="J33" s="63"/>
      <c r="K33" s="65"/>
      <c r="L33" s="66"/>
      <c r="X33" s="56"/>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row>
    <row r="34" ht="15.75" customHeight="1">
      <c r="C34" s="65"/>
      <c r="D34" s="65"/>
      <c r="E34" s="66"/>
      <c r="G34" s="63"/>
      <c r="H34" s="63"/>
      <c r="I34" s="63"/>
      <c r="J34" s="63"/>
      <c r="K34" s="65"/>
      <c r="L34" s="66"/>
      <c r="X34" s="56"/>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row>
    <row r="35" ht="15.75" customHeight="1">
      <c r="C35" s="65"/>
      <c r="D35" s="65"/>
      <c r="E35" s="66"/>
      <c r="G35" s="63"/>
      <c r="H35" s="63"/>
      <c r="I35" s="63"/>
      <c r="J35" s="63"/>
      <c r="K35" s="65"/>
      <c r="L35" s="66"/>
      <c r="X35" s="56"/>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row>
    <row r="36" ht="15.75" customHeight="1">
      <c r="C36" s="65"/>
      <c r="D36" s="65"/>
      <c r="E36" s="66"/>
      <c r="G36" s="63"/>
      <c r="H36" s="63"/>
      <c r="I36" s="63"/>
      <c r="J36" s="63"/>
      <c r="K36" s="65"/>
      <c r="L36" s="66"/>
      <c r="X36" s="56"/>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row>
    <row r="37" ht="15.75" customHeight="1">
      <c r="C37" s="65"/>
      <c r="D37" s="65"/>
      <c r="E37" s="66"/>
      <c r="G37" s="63"/>
      <c r="H37" s="63"/>
      <c r="I37" s="63"/>
      <c r="J37" s="63"/>
      <c r="K37" s="65"/>
      <c r="L37" s="66"/>
      <c r="X37" s="56"/>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row>
    <row r="38" ht="15.75" customHeight="1">
      <c r="C38" s="65"/>
      <c r="D38" s="65"/>
      <c r="E38" s="66"/>
      <c r="G38" s="63"/>
      <c r="H38" s="63"/>
      <c r="I38" s="63"/>
      <c r="J38" s="63"/>
      <c r="K38" s="65"/>
      <c r="L38" s="66"/>
      <c r="X38" s="56"/>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row>
    <row r="39" ht="15.75" customHeight="1">
      <c r="C39" s="65"/>
      <c r="D39" s="65"/>
      <c r="E39" s="66"/>
      <c r="G39" s="63"/>
      <c r="H39" s="63"/>
      <c r="I39" s="63"/>
      <c r="J39" s="63"/>
      <c r="K39" s="65"/>
      <c r="L39" s="66"/>
      <c r="X39" s="56"/>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row>
    <row r="40" ht="15.75" customHeight="1">
      <c r="C40" s="65"/>
      <c r="D40" s="65"/>
      <c r="E40" s="66"/>
      <c r="G40" s="63"/>
      <c r="H40" s="63"/>
      <c r="I40" s="63"/>
      <c r="J40" s="63"/>
      <c r="K40" s="65"/>
      <c r="L40" s="66"/>
      <c r="X40" s="56"/>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row>
    <row r="41" ht="15.75" customHeight="1">
      <c r="C41" s="65"/>
      <c r="D41" s="65"/>
      <c r="E41" s="66"/>
      <c r="G41" s="63"/>
      <c r="H41" s="63"/>
      <c r="I41" s="63"/>
      <c r="J41" s="63"/>
      <c r="K41" s="65"/>
      <c r="L41" s="66"/>
      <c r="X41" s="56"/>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row>
    <row r="42" ht="15.75" customHeight="1">
      <c r="C42" s="65"/>
      <c r="D42" s="65"/>
      <c r="E42" s="66"/>
      <c r="G42" s="63"/>
      <c r="H42" s="63"/>
      <c r="I42" s="63"/>
      <c r="J42" s="63"/>
      <c r="K42" s="65"/>
      <c r="L42" s="66"/>
      <c r="X42" s="56"/>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row>
    <row r="43" ht="15.75" customHeight="1">
      <c r="C43" s="65"/>
      <c r="D43" s="65"/>
      <c r="E43" s="66"/>
      <c r="G43" s="63"/>
      <c r="H43" s="63"/>
      <c r="I43" s="63"/>
      <c r="J43" s="63"/>
      <c r="K43" s="65"/>
      <c r="L43" s="66"/>
      <c r="X43" s="56"/>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row>
    <row r="44" ht="15.75" customHeight="1">
      <c r="C44" s="65"/>
      <c r="D44" s="65"/>
      <c r="E44" s="66"/>
      <c r="G44" s="63"/>
      <c r="H44" s="63"/>
      <c r="I44" s="63"/>
      <c r="J44" s="63"/>
      <c r="K44" s="65"/>
      <c r="L44" s="66"/>
      <c r="X44" s="56"/>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row>
    <row r="45" ht="15.75" customHeight="1">
      <c r="C45" s="65"/>
      <c r="D45" s="65"/>
      <c r="E45" s="66"/>
      <c r="G45" s="63"/>
      <c r="H45" s="63"/>
      <c r="I45" s="63"/>
      <c r="J45" s="63"/>
      <c r="K45" s="65"/>
      <c r="L45" s="66"/>
      <c r="X45" s="56"/>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row>
    <row r="46" ht="15.75" customHeight="1">
      <c r="C46" s="65"/>
      <c r="D46" s="65"/>
      <c r="E46" s="66"/>
      <c r="G46" s="63"/>
      <c r="H46" s="63"/>
      <c r="I46" s="63"/>
      <c r="J46" s="63"/>
      <c r="K46" s="65"/>
      <c r="L46" s="66"/>
      <c r="X46" s="56"/>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row>
    <row r="47" ht="15.75" customHeight="1">
      <c r="C47" s="65"/>
      <c r="D47" s="65"/>
      <c r="E47" s="66"/>
      <c r="G47" s="63"/>
      <c r="H47" s="63"/>
      <c r="I47" s="63"/>
      <c r="J47" s="63"/>
      <c r="K47" s="65"/>
      <c r="L47" s="66"/>
      <c r="X47" s="56"/>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row>
    <row r="48" ht="15.75" customHeight="1">
      <c r="C48" s="65"/>
      <c r="D48" s="65"/>
      <c r="E48" s="66"/>
      <c r="G48" s="63"/>
      <c r="H48" s="63"/>
      <c r="I48" s="63"/>
      <c r="J48" s="63"/>
      <c r="K48" s="65"/>
      <c r="L48" s="66"/>
      <c r="X48" s="56"/>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row>
    <row r="49" ht="15.75" customHeight="1">
      <c r="C49" s="65"/>
      <c r="D49" s="65"/>
      <c r="E49" s="66"/>
      <c r="G49" s="63"/>
      <c r="H49" s="63"/>
      <c r="I49" s="63"/>
      <c r="J49" s="63"/>
      <c r="K49" s="65"/>
      <c r="L49" s="66"/>
      <c r="X49" s="56"/>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row>
    <row r="50" ht="15.75" customHeight="1">
      <c r="C50" s="65"/>
      <c r="D50" s="65"/>
      <c r="E50" s="66"/>
      <c r="G50" s="63"/>
      <c r="H50" s="63"/>
      <c r="I50" s="63"/>
      <c r="J50" s="63"/>
      <c r="K50" s="65"/>
      <c r="L50" s="66"/>
      <c r="X50" s="56"/>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row>
    <row r="51" ht="15.75" customHeight="1">
      <c r="C51" s="65"/>
      <c r="D51" s="65"/>
      <c r="E51" s="66"/>
      <c r="G51" s="63"/>
      <c r="H51" s="63"/>
      <c r="I51" s="63"/>
      <c r="J51" s="63"/>
      <c r="K51" s="65"/>
      <c r="L51" s="66"/>
      <c r="X51" s="56"/>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row>
    <row r="52" ht="15.75" customHeight="1">
      <c r="C52" s="65"/>
      <c r="D52" s="65"/>
      <c r="E52" s="66"/>
      <c r="G52" s="63"/>
      <c r="H52" s="63"/>
      <c r="I52" s="63"/>
      <c r="J52" s="63"/>
      <c r="K52" s="65"/>
      <c r="L52" s="66"/>
      <c r="X52" s="56"/>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row>
    <row r="53" ht="15.75" customHeight="1">
      <c r="C53" s="65"/>
      <c r="D53" s="65"/>
      <c r="E53" s="66"/>
      <c r="G53" s="63"/>
      <c r="H53" s="63"/>
      <c r="I53" s="63"/>
      <c r="J53" s="63"/>
      <c r="K53" s="65"/>
      <c r="L53" s="66"/>
      <c r="X53" s="56"/>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row>
    <row r="54" ht="15.75" customHeight="1">
      <c r="C54" s="65"/>
      <c r="D54" s="65"/>
      <c r="E54" s="66"/>
      <c r="G54" s="63"/>
      <c r="H54" s="63"/>
      <c r="I54" s="63"/>
      <c r="J54" s="63"/>
      <c r="K54" s="65"/>
      <c r="L54" s="66"/>
      <c r="X54" s="56"/>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row>
    <row r="55" ht="15.75" customHeight="1">
      <c r="C55" s="65"/>
      <c r="D55" s="65"/>
      <c r="E55" s="66"/>
      <c r="G55" s="63"/>
      <c r="H55" s="63"/>
      <c r="I55" s="63"/>
      <c r="J55" s="63"/>
      <c r="K55" s="65"/>
      <c r="L55" s="66"/>
      <c r="X55" s="56"/>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row>
    <row r="56" ht="15.75" customHeight="1">
      <c r="C56" s="65"/>
      <c r="D56" s="65"/>
      <c r="E56" s="66"/>
      <c r="G56" s="63"/>
      <c r="H56" s="63"/>
      <c r="I56" s="63"/>
      <c r="J56" s="63"/>
      <c r="K56" s="65"/>
      <c r="L56" s="66"/>
      <c r="X56" s="56"/>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row>
    <row r="57" ht="15.75" customHeight="1">
      <c r="C57" s="65"/>
      <c r="D57" s="65"/>
      <c r="E57" s="66"/>
      <c r="G57" s="63"/>
      <c r="H57" s="63"/>
      <c r="I57" s="63"/>
      <c r="J57" s="63"/>
      <c r="K57" s="65"/>
      <c r="L57" s="66"/>
      <c r="X57" s="56"/>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row>
    <row r="58" ht="15.75" customHeight="1">
      <c r="C58" s="65"/>
      <c r="D58" s="65"/>
      <c r="E58" s="66"/>
      <c r="G58" s="63"/>
      <c r="H58" s="63"/>
      <c r="I58" s="63"/>
      <c r="J58" s="63"/>
      <c r="K58" s="65"/>
      <c r="L58" s="66"/>
      <c r="X58" s="56"/>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row>
    <row r="59" ht="15.75" customHeight="1">
      <c r="C59" s="65"/>
      <c r="D59" s="65"/>
      <c r="E59" s="66"/>
      <c r="G59" s="63"/>
      <c r="H59" s="63"/>
      <c r="I59" s="63"/>
      <c r="J59" s="63"/>
      <c r="K59" s="65"/>
      <c r="L59" s="66"/>
      <c r="X59" s="56"/>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row>
    <row r="60" ht="15.75" customHeight="1">
      <c r="C60" s="65"/>
      <c r="D60" s="65"/>
      <c r="E60" s="66"/>
      <c r="G60" s="63"/>
      <c r="H60" s="63"/>
      <c r="I60" s="63"/>
      <c r="J60" s="63"/>
      <c r="K60" s="65"/>
      <c r="L60" s="66"/>
      <c r="X60" s="56"/>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row>
    <row r="61" ht="15.75" customHeight="1">
      <c r="C61" s="65"/>
      <c r="D61" s="65"/>
      <c r="E61" s="66"/>
      <c r="G61" s="63"/>
      <c r="H61" s="63"/>
      <c r="I61" s="63"/>
      <c r="J61" s="63"/>
      <c r="K61" s="65"/>
      <c r="L61" s="66"/>
      <c r="X61" s="56"/>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row>
    <row r="62" ht="15.75" customHeight="1">
      <c r="C62" s="65"/>
      <c r="D62" s="65"/>
      <c r="E62" s="66"/>
      <c r="G62" s="63"/>
      <c r="H62" s="63"/>
      <c r="I62" s="63"/>
      <c r="J62" s="63"/>
      <c r="K62" s="65"/>
      <c r="L62" s="66"/>
      <c r="X62" s="56"/>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row>
    <row r="63" ht="15.75" customHeight="1">
      <c r="C63" s="65"/>
      <c r="D63" s="65"/>
      <c r="E63" s="66"/>
      <c r="G63" s="63"/>
      <c r="H63" s="63"/>
      <c r="I63" s="63"/>
      <c r="J63" s="63"/>
      <c r="K63" s="65"/>
      <c r="L63" s="66"/>
      <c r="X63" s="56"/>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row>
    <row r="64" ht="15.75" customHeight="1">
      <c r="C64" s="65"/>
      <c r="D64" s="65"/>
      <c r="E64" s="66"/>
      <c r="G64" s="63"/>
      <c r="H64" s="63"/>
      <c r="I64" s="63"/>
      <c r="J64" s="63"/>
      <c r="K64" s="65"/>
      <c r="L64" s="66"/>
      <c r="X64" s="56"/>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row>
    <row r="65" ht="15.75" customHeight="1">
      <c r="C65" s="65"/>
      <c r="D65" s="65"/>
      <c r="E65" s="66"/>
      <c r="G65" s="63"/>
      <c r="H65" s="63"/>
      <c r="I65" s="63"/>
      <c r="J65" s="63"/>
      <c r="K65" s="65"/>
      <c r="L65" s="66"/>
      <c r="X65" s="56"/>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row>
    <row r="66" ht="15.75" customHeight="1">
      <c r="C66" s="65"/>
      <c r="D66" s="65"/>
      <c r="E66" s="66"/>
      <c r="G66" s="63"/>
      <c r="H66" s="63"/>
      <c r="I66" s="63"/>
      <c r="J66" s="63"/>
      <c r="K66" s="65"/>
      <c r="L66" s="66"/>
      <c r="X66" s="56"/>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row>
    <row r="67" ht="15.75" customHeight="1">
      <c r="C67" s="65"/>
      <c r="D67" s="65"/>
      <c r="E67" s="66"/>
      <c r="G67" s="63"/>
      <c r="H67" s="63"/>
      <c r="I67" s="63"/>
      <c r="J67" s="63"/>
      <c r="K67" s="65"/>
      <c r="L67" s="66"/>
      <c r="X67" s="56"/>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row>
    <row r="68" ht="15.75" customHeight="1">
      <c r="C68" s="65"/>
      <c r="D68" s="65"/>
      <c r="E68" s="66"/>
      <c r="G68" s="63"/>
      <c r="H68" s="63"/>
      <c r="I68" s="63"/>
      <c r="J68" s="63"/>
      <c r="K68" s="65"/>
      <c r="L68" s="66"/>
      <c r="X68" s="56"/>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row>
    <row r="69" ht="15.75" customHeight="1">
      <c r="C69" s="65"/>
      <c r="D69" s="65"/>
      <c r="E69" s="66"/>
      <c r="G69" s="63"/>
      <c r="H69" s="63"/>
      <c r="I69" s="63"/>
      <c r="J69" s="63"/>
      <c r="K69" s="65"/>
      <c r="L69" s="66"/>
      <c r="X69" s="56"/>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row>
    <row r="70" ht="15.75" customHeight="1">
      <c r="C70" s="65"/>
      <c r="D70" s="65"/>
      <c r="E70" s="66"/>
      <c r="G70" s="63"/>
      <c r="H70" s="63"/>
      <c r="I70" s="63"/>
      <c r="J70" s="63"/>
      <c r="K70" s="65"/>
      <c r="L70" s="66"/>
      <c r="X70" s="56"/>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row>
    <row r="71" ht="15.75" customHeight="1">
      <c r="C71" s="65"/>
      <c r="D71" s="65"/>
      <c r="E71" s="66"/>
      <c r="G71" s="63"/>
      <c r="H71" s="63"/>
      <c r="I71" s="63"/>
      <c r="J71" s="63"/>
      <c r="K71" s="65"/>
      <c r="L71" s="66"/>
      <c r="X71" s="56"/>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row>
    <row r="72" ht="15.75" customHeight="1">
      <c r="C72" s="65"/>
      <c r="D72" s="65"/>
      <c r="E72" s="66"/>
      <c r="G72" s="63"/>
      <c r="H72" s="63"/>
      <c r="I72" s="63"/>
      <c r="J72" s="63"/>
      <c r="K72" s="65"/>
      <c r="L72" s="66"/>
      <c r="X72" s="56"/>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row>
    <row r="73" ht="15.75" customHeight="1">
      <c r="C73" s="65"/>
      <c r="D73" s="65"/>
      <c r="E73" s="66"/>
      <c r="G73" s="63"/>
      <c r="H73" s="63"/>
      <c r="I73" s="63"/>
      <c r="J73" s="63"/>
      <c r="K73" s="65"/>
      <c r="L73" s="66"/>
      <c r="X73" s="56"/>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row>
    <row r="74" ht="15.75" customHeight="1">
      <c r="C74" s="65"/>
      <c r="D74" s="65"/>
      <c r="E74" s="66"/>
      <c r="G74" s="63"/>
      <c r="H74" s="63"/>
      <c r="I74" s="63"/>
      <c r="J74" s="63"/>
      <c r="K74" s="65"/>
      <c r="L74" s="66"/>
      <c r="X74" s="56"/>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row>
    <row r="75" ht="15.75" customHeight="1">
      <c r="C75" s="65"/>
      <c r="D75" s="65"/>
      <c r="E75" s="66"/>
      <c r="G75" s="63"/>
      <c r="H75" s="63"/>
      <c r="I75" s="63"/>
      <c r="J75" s="63"/>
      <c r="K75" s="65"/>
      <c r="L75" s="66"/>
      <c r="X75" s="56"/>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row>
    <row r="76" ht="15.75" customHeight="1">
      <c r="C76" s="65"/>
      <c r="D76" s="65"/>
      <c r="E76" s="66"/>
      <c r="G76" s="63"/>
      <c r="H76" s="63"/>
      <c r="I76" s="63"/>
      <c r="J76" s="63"/>
      <c r="K76" s="65"/>
      <c r="L76" s="66"/>
      <c r="X76" s="56"/>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row>
    <row r="77" ht="15.75" customHeight="1">
      <c r="C77" s="65"/>
      <c r="D77" s="65"/>
      <c r="E77" s="66"/>
      <c r="G77" s="63"/>
      <c r="H77" s="63"/>
      <c r="I77" s="63"/>
      <c r="J77" s="63"/>
      <c r="K77" s="65"/>
      <c r="L77" s="66"/>
      <c r="X77" s="56"/>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row>
    <row r="78" ht="15.75" customHeight="1">
      <c r="C78" s="65"/>
      <c r="D78" s="65"/>
      <c r="E78" s="66"/>
      <c r="G78" s="63"/>
      <c r="H78" s="63"/>
      <c r="I78" s="63"/>
      <c r="J78" s="63"/>
      <c r="K78" s="65"/>
      <c r="L78" s="66"/>
      <c r="X78" s="56"/>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row>
    <row r="79" ht="15.75" customHeight="1">
      <c r="C79" s="65"/>
      <c r="D79" s="65"/>
      <c r="E79" s="66"/>
      <c r="G79" s="63"/>
      <c r="H79" s="63"/>
      <c r="I79" s="63"/>
      <c r="J79" s="63"/>
      <c r="K79" s="65"/>
      <c r="L79" s="66"/>
      <c r="X79" s="56"/>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row>
    <row r="80" ht="15.75" customHeight="1">
      <c r="C80" s="65"/>
      <c r="D80" s="65"/>
      <c r="E80" s="66"/>
      <c r="G80" s="63"/>
      <c r="H80" s="63"/>
      <c r="I80" s="63"/>
      <c r="J80" s="63"/>
      <c r="K80" s="65"/>
      <c r="L80" s="66"/>
      <c r="X80" s="56"/>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row>
    <row r="81" ht="15.75" customHeight="1">
      <c r="C81" s="65"/>
      <c r="D81" s="65"/>
      <c r="E81" s="66"/>
      <c r="G81" s="63"/>
      <c r="H81" s="63"/>
      <c r="I81" s="63"/>
      <c r="J81" s="63"/>
      <c r="K81" s="65"/>
      <c r="L81" s="66"/>
      <c r="X81" s="56"/>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row>
    <row r="82" ht="15.75" customHeight="1">
      <c r="C82" s="65"/>
      <c r="D82" s="65"/>
      <c r="E82" s="66"/>
      <c r="G82" s="63"/>
      <c r="H82" s="63"/>
      <c r="I82" s="63"/>
      <c r="J82" s="63"/>
      <c r="K82" s="65"/>
      <c r="L82" s="66"/>
      <c r="X82" s="56"/>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c r="BT82" s="22"/>
    </row>
    <row r="83" ht="15.75" customHeight="1">
      <c r="C83" s="65"/>
      <c r="D83" s="65"/>
      <c r="E83" s="66"/>
      <c r="G83" s="63"/>
      <c r="H83" s="63"/>
      <c r="I83" s="63"/>
      <c r="J83" s="63"/>
      <c r="K83" s="65"/>
      <c r="L83" s="66"/>
      <c r="X83" s="56"/>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row>
    <row r="84" ht="15.75" customHeight="1">
      <c r="C84" s="65"/>
      <c r="D84" s="65"/>
      <c r="E84" s="66"/>
      <c r="G84" s="63"/>
      <c r="H84" s="63"/>
      <c r="I84" s="63"/>
      <c r="J84" s="63"/>
      <c r="K84" s="65"/>
      <c r="L84" s="66"/>
      <c r="X84" s="56"/>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row>
    <row r="85" ht="15.75" customHeight="1">
      <c r="C85" s="65"/>
      <c r="D85" s="65"/>
      <c r="E85" s="66"/>
      <c r="G85" s="63"/>
      <c r="H85" s="63"/>
      <c r="I85" s="63"/>
      <c r="J85" s="63"/>
      <c r="K85" s="65"/>
      <c r="L85" s="66"/>
      <c r="X85" s="56"/>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row>
    <row r="86" ht="15.75" customHeight="1">
      <c r="C86" s="65"/>
      <c r="D86" s="65"/>
      <c r="E86" s="66"/>
      <c r="G86" s="63"/>
      <c r="H86" s="63"/>
      <c r="I86" s="63"/>
      <c r="J86" s="63"/>
      <c r="K86" s="65"/>
      <c r="L86" s="66"/>
      <c r="X86" s="56"/>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row>
    <row r="87" ht="15.75" customHeight="1">
      <c r="C87" s="65"/>
      <c r="D87" s="65"/>
      <c r="E87" s="66"/>
      <c r="G87" s="63"/>
      <c r="H87" s="63"/>
      <c r="I87" s="63"/>
      <c r="J87" s="63"/>
      <c r="K87" s="65"/>
      <c r="L87" s="66"/>
      <c r="X87" s="56"/>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row>
    <row r="88" ht="15.75" customHeight="1">
      <c r="C88" s="65"/>
      <c r="D88" s="65"/>
      <c r="E88" s="66"/>
      <c r="G88" s="63"/>
      <c r="H88" s="63"/>
      <c r="I88" s="63"/>
      <c r="J88" s="63"/>
      <c r="K88" s="65"/>
      <c r="L88" s="66"/>
      <c r="X88" s="56"/>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row>
    <row r="89" ht="15.75" customHeight="1">
      <c r="C89" s="65"/>
      <c r="D89" s="65"/>
      <c r="E89" s="66"/>
      <c r="G89" s="63"/>
      <c r="H89" s="63"/>
      <c r="I89" s="63"/>
      <c r="J89" s="63"/>
      <c r="K89" s="65"/>
      <c r="L89" s="66"/>
      <c r="X89" s="56"/>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row>
    <row r="90" ht="15.75" customHeight="1">
      <c r="C90" s="65"/>
      <c r="D90" s="65"/>
      <c r="E90" s="66"/>
      <c r="G90" s="63"/>
      <c r="H90" s="63"/>
      <c r="I90" s="63"/>
      <c r="J90" s="63"/>
      <c r="K90" s="65"/>
      <c r="L90" s="66"/>
      <c r="X90" s="56"/>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row>
    <row r="91" ht="15.75" customHeight="1">
      <c r="C91" s="65"/>
      <c r="D91" s="65"/>
      <c r="E91" s="66"/>
      <c r="G91" s="63"/>
      <c r="H91" s="63"/>
      <c r="I91" s="63"/>
      <c r="J91" s="63"/>
      <c r="K91" s="65"/>
      <c r="L91" s="66"/>
      <c r="X91" s="56"/>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row>
    <row r="92" ht="15.75" customHeight="1">
      <c r="C92" s="65"/>
      <c r="D92" s="65"/>
      <c r="E92" s="66"/>
      <c r="G92" s="63"/>
      <c r="H92" s="63"/>
      <c r="I92" s="63"/>
      <c r="J92" s="63"/>
      <c r="K92" s="65"/>
      <c r="L92" s="66"/>
      <c r="X92" s="56"/>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row>
    <row r="93" ht="15.75" customHeight="1">
      <c r="C93" s="65"/>
      <c r="D93" s="65"/>
      <c r="E93" s="66"/>
      <c r="G93" s="63"/>
      <c r="H93" s="63"/>
      <c r="I93" s="63"/>
      <c r="J93" s="63"/>
      <c r="K93" s="65"/>
      <c r="L93" s="66"/>
      <c r="X93" s="56"/>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row>
    <row r="94" ht="15.75" customHeight="1">
      <c r="C94" s="65"/>
      <c r="D94" s="65"/>
      <c r="E94" s="66"/>
      <c r="G94" s="63"/>
      <c r="H94" s="63"/>
      <c r="I94" s="63"/>
      <c r="J94" s="63"/>
      <c r="K94" s="65"/>
      <c r="L94" s="66"/>
      <c r="X94" s="56"/>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row>
    <row r="95" ht="15.75" customHeight="1">
      <c r="C95" s="65"/>
      <c r="D95" s="65"/>
      <c r="E95" s="66"/>
      <c r="G95" s="63"/>
      <c r="H95" s="63"/>
      <c r="I95" s="63"/>
      <c r="J95" s="63"/>
      <c r="K95" s="65"/>
      <c r="L95" s="66"/>
      <c r="X95" s="56"/>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row>
    <row r="96" ht="15.75" customHeight="1">
      <c r="C96" s="65"/>
      <c r="D96" s="65"/>
      <c r="E96" s="66"/>
      <c r="G96" s="63"/>
      <c r="H96" s="63"/>
      <c r="I96" s="63"/>
      <c r="J96" s="63"/>
      <c r="K96" s="65"/>
      <c r="L96" s="66"/>
      <c r="X96" s="56"/>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row>
    <row r="97" ht="15.75" customHeight="1">
      <c r="C97" s="65"/>
      <c r="D97" s="65"/>
      <c r="E97" s="66"/>
      <c r="G97" s="63"/>
      <c r="H97" s="63"/>
      <c r="I97" s="63"/>
      <c r="J97" s="63"/>
      <c r="K97" s="65"/>
      <c r="L97" s="66"/>
      <c r="X97" s="56"/>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row>
    <row r="98" ht="15.75" customHeight="1">
      <c r="C98" s="65"/>
      <c r="D98" s="65"/>
      <c r="E98" s="66"/>
      <c r="G98" s="63"/>
      <c r="H98" s="63"/>
      <c r="I98" s="63"/>
      <c r="J98" s="63"/>
      <c r="K98" s="65"/>
      <c r="L98" s="66"/>
      <c r="X98" s="56"/>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row>
    <row r="99" ht="15.75" customHeight="1">
      <c r="C99" s="65"/>
      <c r="D99" s="65"/>
      <c r="E99" s="66"/>
      <c r="G99" s="63"/>
      <c r="H99" s="63"/>
      <c r="I99" s="63"/>
      <c r="J99" s="63"/>
      <c r="K99" s="65"/>
      <c r="L99" s="66"/>
      <c r="X99" s="56"/>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row>
    <row r="100" ht="15.75" customHeight="1">
      <c r="C100" s="65"/>
      <c r="D100" s="65"/>
      <c r="E100" s="66"/>
      <c r="G100" s="63"/>
      <c r="H100" s="63"/>
      <c r="I100" s="63"/>
      <c r="J100" s="63"/>
      <c r="K100" s="65"/>
      <c r="L100" s="66"/>
      <c r="X100" s="56"/>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row>
    <row r="101" ht="15.75" customHeight="1">
      <c r="C101" s="65"/>
      <c r="D101" s="65"/>
      <c r="E101" s="66"/>
      <c r="G101" s="63"/>
      <c r="H101" s="63"/>
      <c r="I101" s="63"/>
      <c r="J101" s="63"/>
      <c r="K101" s="65"/>
      <c r="L101" s="66"/>
      <c r="X101" s="56"/>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row>
    <row r="102" ht="15.75" customHeight="1">
      <c r="C102" s="65"/>
      <c r="D102" s="65"/>
      <c r="E102" s="66"/>
      <c r="G102" s="63"/>
      <c r="H102" s="63"/>
      <c r="I102" s="63"/>
      <c r="J102" s="63"/>
      <c r="K102" s="65"/>
      <c r="L102" s="66"/>
      <c r="X102" s="56"/>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row>
    <row r="103" ht="15.75" customHeight="1">
      <c r="C103" s="65"/>
      <c r="D103" s="65"/>
      <c r="E103" s="66"/>
      <c r="G103" s="63"/>
      <c r="H103" s="63"/>
      <c r="I103" s="63"/>
      <c r="J103" s="63"/>
      <c r="K103" s="65"/>
      <c r="L103" s="66"/>
      <c r="X103" s="56"/>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2"/>
      <c r="BR103" s="22"/>
      <c r="BS103" s="22"/>
      <c r="BT103" s="22"/>
    </row>
    <row r="104" ht="15.75" customHeight="1">
      <c r="C104" s="65"/>
      <c r="D104" s="65"/>
      <c r="E104" s="66"/>
      <c r="G104" s="63"/>
      <c r="H104" s="63"/>
      <c r="I104" s="63"/>
      <c r="J104" s="63"/>
      <c r="K104" s="65"/>
      <c r="L104" s="66"/>
      <c r="X104" s="56"/>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row>
    <row r="105" ht="15.75" customHeight="1">
      <c r="C105" s="65"/>
      <c r="D105" s="65"/>
      <c r="E105" s="66"/>
      <c r="G105" s="63"/>
      <c r="H105" s="63"/>
      <c r="I105" s="63"/>
      <c r="J105" s="63"/>
      <c r="K105" s="65"/>
      <c r="L105" s="66"/>
      <c r="X105" s="56"/>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row>
    <row r="106" ht="15.75" customHeight="1">
      <c r="C106" s="65"/>
      <c r="D106" s="65"/>
      <c r="E106" s="66"/>
      <c r="G106" s="63"/>
      <c r="H106" s="63"/>
      <c r="I106" s="63"/>
      <c r="J106" s="63"/>
      <c r="K106" s="65"/>
      <c r="L106" s="66"/>
      <c r="X106" s="56"/>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row>
    <row r="107" ht="15.75" customHeight="1">
      <c r="C107" s="65"/>
      <c r="D107" s="65"/>
      <c r="E107" s="66"/>
      <c r="G107" s="63"/>
      <c r="H107" s="63"/>
      <c r="I107" s="63"/>
      <c r="J107" s="63"/>
      <c r="K107" s="65"/>
      <c r="L107" s="66"/>
      <c r="X107" s="56"/>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row>
    <row r="108" ht="15.75" customHeight="1">
      <c r="C108" s="65"/>
      <c r="D108" s="65"/>
      <c r="E108" s="66"/>
      <c r="G108" s="63"/>
      <c r="H108" s="63"/>
      <c r="I108" s="63"/>
      <c r="J108" s="63"/>
      <c r="K108" s="65"/>
      <c r="L108" s="66"/>
      <c r="X108" s="56"/>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row>
    <row r="109" ht="15.75" customHeight="1">
      <c r="C109" s="65"/>
      <c r="D109" s="65"/>
      <c r="E109" s="66"/>
      <c r="G109" s="63"/>
      <c r="H109" s="63"/>
      <c r="I109" s="63"/>
      <c r="J109" s="63"/>
      <c r="K109" s="65"/>
      <c r="L109" s="66"/>
      <c r="X109" s="56"/>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row>
    <row r="110" ht="15.75" customHeight="1">
      <c r="C110" s="65"/>
      <c r="D110" s="65"/>
      <c r="E110" s="66"/>
      <c r="G110" s="63"/>
      <c r="H110" s="63"/>
      <c r="I110" s="63"/>
      <c r="J110" s="63"/>
      <c r="K110" s="65"/>
      <c r="L110" s="66"/>
      <c r="X110" s="56"/>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row>
    <row r="111" ht="15.75" customHeight="1">
      <c r="C111" s="65"/>
      <c r="D111" s="65"/>
      <c r="E111" s="66"/>
      <c r="G111" s="63"/>
      <c r="H111" s="63"/>
      <c r="I111" s="63"/>
      <c r="J111" s="63"/>
      <c r="K111" s="65"/>
      <c r="L111" s="66"/>
      <c r="X111" s="56"/>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row>
    <row r="112" ht="15.75" customHeight="1">
      <c r="C112" s="65"/>
      <c r="D112" s="65"/>
      <c r="E112" s="66"/>
      <c r="G112" s="63"/>
      <c r="H112" s="63"/>
      <c r="I112" s="63"/>
      <c r="J112" s="63"/>
      <c r="K112" s="65"/>
      <c r="L112" s="66"/>
      <c r="X112" s="56"/>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row>
    <row r="113" ht="15.75" customHeight="1">
      <c r="C113" s="65"/>
      <c r="D113" s="65"/>
      <c r="E113" s="66"/>
      <c r="G113" s="63"/>
      <c r="H113" s="63"/>
      <c r="I113" s="63"/>
      <c r="J113" s="63"/>
      <c r="K113" s="65"/>
      <c r="L113" s="66"/>
      <c r="X113" s="56"/>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row>
    <row r="114" ht="15.75" customHeight="1">
      <c r="C114" s="65"/>
      <c r="D114" s="65"/>
      <c r="E114" s="66"/>
      <c r="G114" s="63"/>
      <c r="H114" s="63"/>
      <c r="I114" s="63"/>
      <c r="J114" s="63"/>
      <c r="K114" s="65"/>
      <c r="L114" s="66"/>
      <c r="X114" s="56"/>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c r="BR114" s="22"/>
      <c r="BS114" s="22"/>
      <c r="BT114" s="22"/>
    </row>
    <row r="115" ht="15.75" customHeight="1">
      <c r="C115" s="65"/>
      <c r="D115" s="65"/>
      <c r="E115" s="66"/>
      <c r="G115" s="63"/>
      <c r="H115" s="63"/>
      <c r="I115" s="63"/>
      <c r="J115" s="63"/>
      <c r="K115" s="65"/>
      <c r="L115" s="66"/>
      <c r="X115" s="56"/>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row>
    <row r="116" ht="15.75" customHeight="1">
      <c r="C116" s="65"/>
      <c r="D116" s="65"/>
      <c r="E116" s="66"/>
      <c r="G116" s="63"/>
      <c r="H116" s="63"/>
      <c r="I116" s="63"/>
      <c r="J116" s="63"/>
      <c r="K116" s="65"/>
      <c r="L116" s="66"/>
      <c r="X116" s="56"/>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row>
    <row r="117" ht="15.75" customHeight="1">
      <c r="C117" s="65"/>
      <c r="D117" s="65"/>
      <c r="E117" s="66"/>
      <c r="G117" s="63"/>
      <c r="H117" s="63"/>
      <c r="I117" s="63"/>
      <c r="J117" s="63"/>
      <c r="K117" s="65"/>
      <c r="L117" s="66"/>
      <c r="X117" s="56"/>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row>
    <row r="118" ht="15.75" customHeight="1">
      <c r="C118" s="65"/>
      <c r="D118" s="65"/>
      <c r="E118" s="66"/>
      <c r="G118" s="63"/>
      <c r="H118" s="63"/>
      <c r="I118" s="63"/>
      <c r="J118" s="63"/>
      <c r="K118" s="65"/>
      <c r="L118" s="66"/>
      <c r="X118" s="56"/>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row>
    <row r="119" ht="15.75" customHeight="1">
      <c r="C119" s="65"/>
      <c r="D119" s="65"/>
      <c r="E119" s="66"/>
      <c r="G119" s="63"/>
      <c r="H119" s="63"/>
      <c r="I119" s="63"/>
      <c r="J119" s="63"/>
      <c r="K119" s="65"/>
      <c r="L119" s="66"/>
      <c r="X119" s="56"/>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row>
    <row r="120" ht="15.75" customHeight="1">
      <c r="C120" s="65"/>
      <c r="D120" s="65"/>
      <c r="E120" s="66"/>
      <c r="G120" s="63"/>
      <c r="H120" s="63"/>
      <c r="I120" s="63"/>
      <c r="J120" s="63"/>
      <c r="K120" s="65"/>
      <c r="L120" s="66"/>
      <c r="X120" s="56"/>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row>
    <row r="121" ht="15.75" customHeight="1">
      <c r="C121" s="65"/>
      <c r="D121" s="65"/>
      <c r="E121" s="66"/>
      <c r="G121" s="63"/>
      <c r="H121" s="63"/>
      <c r="I121" s="63"/>
      <c r="J121" s="63"/>
      <c r="K121" s="65"/>
      <c r="L121" s="66"/>
      <c r="X121" s="56"/>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row>
    <row r="122" ht="15.75" customHeight="1">
      <c r="C122" s="65"/>
      <c r="D122" s="65"/>
      <c r="E122" s="66"/>
      <c r="G122" s="63"/>
      <c r="H122" s="63"/>
      <c r="I122" s="63"/>
      <c r="J122" s="63"/>
      <c r="K122" s="65"/>
      <c r="L122" s="66"/>
      <c r="X122" s="56"/>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row>
    <row r="123" ht="15.75" customHeight="1">
      <c r="C123" s="65"/>
      <c r="D123" s="65"/>
      <c r="E123" s="66"/>
      <c r="G123" s="63"/>
      <c r="H123" s="63"/>
      <c r="I123" s="63"/>
      <c r="J123" s="63"/>
      <c r="K123" s="65"/>
      <c r="L123" s="66"/>
      <c r="X123" s="56"/>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row>
    <row r="124" ht="15.75" customHeight="1">
      <c r="C124" s="65"/>
      <c r="D124" s="65"/>
      <c r="E124" s="66"/>
      <c r="G124" s="63"/>
      <c r="H124" s="63"/>
      <c r="I124" s="63"/>
      <c r="J124" s="63"/>
      <c r="K124" s="65"/>
      <c r="L124" s="66"/>
      <c r="X124" s="56"/>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row>
    <row r="125" ht="15.75" customHeight="1">
      <c r="C125" s="65"/>
      <c r="D125" s="65"/>
      <c r="E125" s="66"/>
      <c r="G125" s="63"/>
      <c r="H125" s="63"/>
      <c r="I125" s="63"/>
      <c r="J125" s="63"/>
      <c r="K125" s="65"/>
      <c r="L125" s="66"/>
      <c r="X125" s="56"/>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row>
    <row r="126" ht="15.75" customHeight="1">
      <c r="C126" s="65"/>
      <c r="D126" s="65"/>
      <c r="E126" s="66"/>
      <c r="G126" s="63"/>
      <c r="H126" s="63"/>
      <c r="I126" s="63"/>
      <c r="J126" s="63"/>
      <c r="K126" s="65"/>
      <c r="L126" s="66"/>
      <c r="X126" s="56"/>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row>
    <row r="127" ht="15.75" customHeight="1">
      <c r="C127" s="65"/>
      <c r="D127" s="65"/>
      <c r="E127" s="66"/>
      <c r="G127" s="63"/>
      <c r="H127" s="63"/>
      <c r="I127" s="63"/>
      <c r="J127" s="63"/>
      <c r="K127" s="65"/>
      <c r="L127" s="66"/>
      <c r="X127" s="56"/>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2"/>
      <c r="BR127" s="22"/>
      <c r="BS127" s="22"/>
      <c r="BT127" s="22"/>
    </row>
    <row r="128" ht="15.75" customHeight="1">
      <c r="C128" s="65"/>
      <c r="D128" s="65"/>
      <c r="E128" s="66"/>
      <c r="G128" s="63"/>
      <c r="H128" s="63"/>
      <c r="I128" s="63"/>
      <c r="J128" s="63"/>
      <c r="K128" s="65"/>
      <c r="L128" s="66"/>
      <c r="X128" s="56"/>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c r="BR128" s="22"/>
      <c r="BS128" s="22"/>
      <c r="BT128" s="22"/>
    </row>
    <row r="129" ht="15.75" customHeight="1">
      <c r="C129" s="65"/>
      <c r="D129" s="65"/>
      <c r="E129" s="66"/>
      <c r="G129" s="63"/>
      <c r="H129" s="63"/>
      <c r="I129" s="63"/>
      <c r="J129" s="63"/>
      <c r="K129" s="65"/>
      <c r="L129" s="66"/>
      <c r="X129" s="56"/>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c r="BR129" s="22"/>
      <c r="BS129" s="22"/>
      <c r="BT129" s="22"/>
    </row>
    <row r="130" ht="15.75" customHeight="1">
      <c r="C130" s="65"/>
      <c r="D130" s="65"/>
      <c r="E130" s="66"/>
      <c r="G130" s="63"/>
      <c r="H130" s="63"/>
      <c r="I130" s="63"/>
      <c r="J130" s="63"/>
      <c r="K130" s="65"/>
      <c r="L130" s="66"/>
      <c r="X130" s="56"/>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2"/>
      <c r="BR130" s="22"/>
      <c r="BS130" s="22"/>
      <c r="BT130" s="22"/>
    </row>
    <row r="131" ht="15.75" customHeight="1">
      <c r="C131" s="65"/>
      <c r="D131" s="65"/>
      <c r="E131" s="66"/>
      <c r="G131" s="63"/>
      <c r="H131" s="63"/>
      <c r="I131" s="63"/>
      <c r="J131" s="63"/>
      <c r="K131" s="65"/>
      <c r="L131" s="66"/>
      <c r="X131" s="56"/>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c r="BS131" s="22"/>
      <c r="BT131" s="22"/>
    </row>
    <row r="132" ht="15.75" customHeight="1">
      <c r="C132" s="65"/>
      <c r="D132" s="65"/>
      <c r="E132" s="66"/>
      <c r="G132" s="63"/>
      <c r="H132" s="63"/>
      <c r="I132" s="63"/>
      <c r="J132" s="63"/>
      <c r="K132" s="65"/>
      <c r="L132" s="66"/>
      <c r="X132" s="56"/>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c r="BR132" s="22"/>
      <c r="BS132" s="22"/>
      <c r="BT132" s="22"/>
    </row>
    <row r="133" ht="15.75" customHeight="1">
      <c r="C133" s="65"/>
      <c r="D133" s="65"/>
      <c r="E133" s="66"/>
      <c r="G133" s="63"/>
      <c r="H133" s="63"/>
      <c r="I133" s="63"/>
      <c r="J133" s="63"/>
      <c r="K133" s="65"/>
      <c r="L133" s="66"/>
      <c r="X133" s="56"/>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2"/>
      <c r="BR133" s="22"/>
      <c r="BS133" s="22"/>
      <c r="BT133" s="22"/>
    </row>
    <row r="134" ht="15.75" customHeight="1">
      <c r="C134" s="65"/>
      <c r="D134" s="65"/>
      <c r="E134" s="66"/>
      <c r="G134" s="63"/>
      <c r="H134" s="63"/>
      <c r="I134" s="63"/>
      <c r="J134" s="63"/>
      <c r="K134" s="65"/>
      <c r="L134" s="66"/>
      <c r="X134" s="56"/>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2"/>
      <c r="BR134" s="22"/>
      <c r="BS134" s="22"/>
      <c r="BT134" s="22"/>
    </row>
    <row r="135" ht="15.75" customHeight="1">
      <c r="C135" s="65"/>
      <c r="D135" s="65"/>
      <c r="E135" s="66"/>
      <c r="G135" s="63"/>
      <c r="H135" s="63"/>
      <c r="I135" s="63"/>
      <c r="J135" s="63"/>
      <c r="K135" s="65"/>
      <c r="L135" s="66"/>
      <c r="X135" s="56"/>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2"/>
      <c r="BR135" s="22"/>
      <c r="BS135" s="22"/>
      <c r="BT135" s="22"/>
    </row>
    <row r="136" ht="15.75" customHeight="1">
      <c r="C136" s="65"/>
      <c r="D136" s="65"/>
      <c r="E136" s="66"/>
      <c r="G136" s="63"/>
      <c r="H136" s="63"/>
      <c r="I136" s="63"/>
      <c r="J136" s="63"/>
      <c r="K136" s="65"/>
      <c r="L136" s="66"/>
      <c r="X136" s="56"/>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2"/>
      <c r="BR136" s="22"/>
      <c r="BS136" s="22"/>
      <c r="BT136" s="22"/>
    </row>
    <row r="137" ht="15.75" customHeight="1">
      <c r="C137" s="65"/>
      <c r="D137" s="65"/>
      <c r="E137" s="66"/>
      <c r="G137" s="63"/>
      <c r="H137" s="63"/>
      <c r="I137" s="63"/>
      <c r="J137" s="63"/>
      <c r="K137" s="65"/>
      <c r="L137" s="66"/>
      <c r="X137" s="56"/>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2"/>
      <c r="BR137" s="22"/>
      <c r="BS137" s="22"/>
      <c r="BT137" s="22"/>
    </row>
    <row r="138" ht="15.75" customHeight="1">
      <c r="C138" s="65"/>
      <c r="D138" s="65"/>
      <c r="E138" s="66"/>
      <c r="G138" s="63"/>
      <c r="H138" s="63"/>
      <c r="I138" s="63"/>
      <c r="J138" s="63"/>
      <c r="K138" s="65"/>
      <c r="L138" s="66"/>
      <c r="X138" s="56"/>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2"/>
      <c r="BR138" s="22"/>
      <c r="BS138" s="22"/>
      <c r="BT138" s="22"/>
    </row>
    <row r="139" ht="15.75" customHeight="1">
      <c r="C139" s="65"/>
      <c r="D139" s="65"/>
      <c r="E139" s="66"/>
      <c r="G139" s="63"/>
      <c r="H139" s="63"/>
      <c r="I139" s="63"/>
      <c r="J139" s="63"/>
      <c r="K139" s="65"/>
      <c r="L139" s="66"/>
      <c r="X139" s="56"/>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2"/>
      <c r="BR139" s="22"/>
      <c r="BS139" s="22"/>
      <c r="BT139" s="22"/>
    </row>
    <row r="140" ht="15.75" customHeight="1">
      <c r="C140" s="65"/>
      <c r="D140" s="65"/>
      <c r="E140" s="66"/>
      <c r="G140" s="63"/>
      <c r="H140" s="63"/>
      <c r="I140" s="63"/>
      <c r="J140" s="63"/>
      <c r="K140" s="65"/>
      <c r="L140" s="66"/>
      <c r="X140" s="56"/>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row>
    <row r="141" ht="15.75" customHeight="1">
      <c r="C141" s="65"/>
      <c r="D141" s="65"/>
      <c r="E141" s="66"/>
      <c r="G141" s="63"/>
      <c r="H141" s="63"/>
      <c r="I141" s="63"/>
      <c r="J141" s="63"/>
      <c r="K141" s="65"/>
      <c r="L141" s="66"/>
      <c r="X141" s="56"/>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row>
    <row r="142" ht="15.75" customHeight="1">
      <c r="C142" s="65"/>
      <c r="D142" s="65"/>
      <c r="E142" s="66"/>
      <c r="G142" s="63"/>
      <c r="H142" s="63"/>
      <c r="I142" s="63"/>
      <c r="J142" s="63"/>
      <c r="K142" s="65"/>
      <c r="L142" s="66"/>
      <c r="X142" s="56"/>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2"/>
      <c r="BR142" s="22"/>
      <c r="BS142" s="22"/>
      <c r="BT142" s="22"/>
    </row>
    <row r="143" ht="15.75" customHeight="1">
      <c r="C143" s="65"/>
      <c r="D143" s="65"/>
      <c r="E143" s="66"/>
      <c r="G143" s="63"/>
      <c r="H143" s="63"/>
      <c r="I143" s="63"/>
      <c r="J143" s="63"/>
      <c r="K143" s="65"/>
      <c r="L143" s="66"/>
      <c r="X143" s="56"/>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2"/>
      <c r="BR143" s="22"/>
      <c r="BS143" s="22"/>
      <c r="BT143" s="22"/>
    </row>
    <row r="144" ht="15.75" customHeight="1">
      <c r="C144" s="65"/>
      <c r="D144" s="65"/>
      <c r="E144" s="66"/>
      <c r="G144" s="63"/>
      <c r="H144" s="63"/>
      <c r="I144" s="63"/>
      <c r="J144" s="63"/>
      <c r="K144" s="65"/>
      <c r="L144" s="66"/>
      <c r="X144" s="56"/>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2"/>
      <c r="BR144" s="22"/>
      <c r="BS144" s="22"/>
      <c r="BT144" s="22"/>
    </row>
    <row r="145" ht="15.75" customHeight="1">
      <c r="C145" s="65"/>
      <c r="D145" s="65"/>
      <c r="E145" s="66"/>
      <c r="G145" s="63"/>
      <c r="H145" s="63"/>
      <c r="I145" s="63"/>
      <c r="J145" s="63"/>
      <c r="K145" s="65"/>
      <c r="L145" s="66"/>
      <c r="X145" s="56"/>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2"/>
      <c r="BR145" s="22"/>
      <c r="BS145" s="22"/>
      <c r="BT145" s="22"/>
    </row>
    <row r="146" ht="15.75" customHeight="1">
      <c r="C146" s="65"/>
      <c r="D146" s="65"/>
      <c r="E146" s="66"/>
      <c r="G146" s="63"/>
      <c r="H146" s="63"/>
      <c r="I146" s="63"/>
      <c r="J146" s="63"/>
      <c r="K146" s="65"/>
      <c r="L146" s="66"/>
      <c r="X146" s="56"/>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2"/>
      <c r="BR146" s="22"/>
      <c r="BS146" s="22"/>
      <c r="BT146" s="22"/>
    </row>
    <row r="147" ht="15.75" customHeight="1">
      <c r="C147" s="65"/>
      <c r="D147" s="65"/>
      <c r="E147" s="66"/>
      <c r="G147" s="63"/>
      <c r="H147" s="63"/>
      <c r="I147" s="63"/>
      <c r="J147" s="63"/>
      <c r="K147" s="65"/>
      <c r="L147" s="66"/>
      <c r="X147" s="56"/>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2"/>
      <c r="BR147" s="22"/>
      <c r="BS147" s="22"/>
      <c r="BT147" s="22"/>
    </row>
    <row r="148" ht="15.75" customHeight="1">
      <c r="C148" s="65"/>
      <c r="D148" s="65"/>
      <c r="E148" s="66"/>
      <c r="G148" s="63"/>
      <c r="H148" s="63"/>
      <c r="I148" s="63"/>
      <c r="J148" s="63"/>
      <c r="K148" s="65"/>
      <c r="L148" s="66"/>
      <c r="X148" s="56"/>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2"/>
      <c r="BR148" s="22"/>
      <c r="BS148" s="22"/>
      <c r="BT148" s="22"/>
    </row>
    <row r="149" ht="15.75" customHeight="1">
      <c r="C149" s="65"/>
      <c r="D149" s="65"/>
      <c r="E149" s="66"/>
      <c r="G149" s="63"/>
      <c r="H149" s="63"/>
      <c r="I149" s="63"/>
      <c r="J149" s="63"/>
      <c r="K149" s="65"/>
      <c r="L149" s="66"/>
      <c r="X149" s="56"/>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2"/>
      <c r="BR149" s="22"/>
      <c r="BS149" s="22"/>
      <c r="BT149" s="22"/>
    </row>
    <row r="150" ht="15.75" customHeight="1">
      <c r="C150" s="65"/>
      <c r="D150" s="65"/>
      <c r="E150" s="66"/>
      <c r="G150" s="63"/>
      <c r="H150" s="63"/>
      <c r="I150" s="63"/>
      <c r="J150" s="63"/>
      <c r="K150" s="65"/>
      <c r="L150" s="66"/>
      <c r="X150" s="56"/>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2"/>
      <c r="BR150" s="22"/>
      <c r="BS150" s="22"/>
      <c r="BT150" s="22"/>
    </row>
    <row r="151" ht="15.75" customHeight="1">
      <c r="C151" s="65"/>
      <c r="D151" s="65"/>
      <c r="E151" s="66"/>
      <c r="G151" s="63"/>
      <c r="H151" s="63"/>
      <c r="I151" s="63"/>
      <c r="J151" s="63"/>
      <c r="K151" s="65"/>
      <c r="L151" s="66"/>
      <c r="X151" s="56"/>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2"/>
      <c r="BR151" s="22"/>
      <c r="BS151" s="22"/>
      <c r="BT151" s="22"/>
    </row>
    <row r="152" ht="15.75" customHeight="1">
      <c r="C152" s="65"/>
      <c r="D152" s="65"/>
      <c r="E152" s="66"/>
      <c r="G152" s="63"/>
      <c r="H152" s="63"/>
      <c r="I152" s="63"/>
      <c r="J152" s="63"/>
      <c r="K152" s="65"/>
      <c r="L152" s="66"/>
      <c r="X152" s="56"/>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2"/>
      <c r="BR152" s="22"/>
      <c r="BS152" s="22"/>
      <c r="BT152" s="22"/>
    </row>
    <row r="153" ht="15.75" customHeight="1">
      <c r="C153" s="65"/>
      <c r="D153" s="65"/>
      <c r="E153" s="66"/>
      <c r="G153" s="63"/>
      <c r="H153" s="63"/>
      <c r="I153" s="63"/>
      <c r="J153" s="63"/>
      <c r="K153" s="65"/>
      <c r="L153" s="66"/>
      <c r="X153" s="56"/>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2"/>
      <c r="BR153" s="22"/>
      <c r="BS153" s="22"/>
      <c r="BT153" s="22"/>
    </row>
    <row r="154" ht="15.75" customHeight="1">
      <c r="C154" s="65"/>
      <c r="D154" s="65"/>
      <c r="E154" s="66"/>
      <c r="G154" s="63"/>
      <c r="H154" s="63"/>
      <c r="I154" s="63"/>
      <c r="J154" s="63"/>
      <c r="K154" s="65"/>
      <c r="L154" s="66"/>
      <c r="X154" s="56"/>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2"/>
      <c r="BR154" s="22"/>
      <c r="BS154" s="22"/>
      <c r="BT154" s="22"/>
    </row>
    <row r="155" ht="15.75" customHeight="1">
      <c r="C155" s="65"/>
      <c r="D155" s="65"/>
      <c r="E155" s="66"/>
      <c r="G155" s="63"/>
      <c r="H155" s="63"/>
      <c r="I155" s="63"/>
      <c r="J155" s="63"/>
      <c r="K155" s="65"/>
      <c r="L155" s="66"/>
      <c r="X155" s="56"/>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2"/>
      <c r="BR155" s="22"/>
      <c r="BS155" s="22"/>
      <c r="BT155" s="22"/>
    </row>
    <row r="156" ht="15.75" customHeight="1">
      <c r="C156" s="65"/>
      <c r="D156" s="65"/>
      <c r="E156" s="66"/>
      <c r="G156" s="63"/>
      <c r="H156" s="63"/>
      <c r="I156" s="63"/>
      <c r="J156" s="63"/>
      <c r="K156" s="65"/>
      <c r="L156" s="66"/>
      <c r="X156" s="56"/>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2"/>
      <c r="BR156" s="22"/>
      <c r="BS156" s="22"/>
      <c r="BT156" s="22"/>
    </row>
    <row r="157" ht="15.75" customHeight="1">
      <c r="C157" s="65"/>
      <c r="D157" s="65"/>
      <c r="E157" s="66"/>
      <c r="G157" s="63"/>
      <c r="H157" s="63"/>
      <c r="I157" s="63"/>
      <c r="J157" s="63"/>
      <c r="K157" s="65"/>
      <c r="L157" s="66"/>
      <c r="X157" s="56"/>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2"/>
      <c r="BR157" s="22"/>
      <c r="BS157" s="22"/>
      <c r="BT157" s="22"/>
    </row>
    <row r="158" ht="15.75" customHeight="1">
      <c r="C158" s="65"/>
      <c r="D158" s="65"/>
      <c r="E158" s="66"/>
      <c r="G158" s="63"/>
      <c r="H158" s="63"/>
      <c r="I158" s="63"/>
      <c r="J158" s="63"/>
      <c r="K158" s="65"/>
      <c r="L158" s="66"/>
      <c r="X158" s="56"/>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2"/>
      <c r="BR158" s="22"/>
      <c r="BS158" s="22"/>
      <c r="BT158" s="22"/>
    </row>
    <row r="159" ht="15.75" customHeight="1">
      <c r="C159" s="65"/>
      <c r="D159" s="65"/>
      <c r="E159" s="66"/>
      <c r="G159" s="63"/>
      <c r="H159" s="63"/>
      <c r="I159" s="63"/>
      <c r="J159" s="63"/>
      <c r="K159" s="65"/>
      <c r="L159" s="66"/>
      <c r="X159" s="56"/>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2"/>
      <c r="BR159" s="22"/>
      <c r="BS159" s="22"/>
      <c r="BT159" s="22"/>
    </row>
    <row r="160" ht="15.75" customHeight="1">
      <c r="C160" s="65"/>
      <c r="D160" s="65"/>
      <c r="E160" s="66"/>
      <c r="G160" s="63"/>
      <c r="H160" s="63"/>
      <c r="I160" s="63"/>
      <c r="J160" s="63"/>
      <c r="K160" s="65"/>
      <c r="L160" s="66"/>
      <c r="X160" s="56"/>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2"/>
      <c r="BR160" s="22"/>
      <c r="BS160" s="22"/>
      <c r="BT160" s="22"/>
    </row>
    <row r="161" ht="15.75" customHeight="1">
      <c r="C161" s="65"/>
      <c r="D161" s="65"/>
      <c r="E161" s="66"/>
      <c r="G161" s="63"/>
      <c r="H161" s="63"/>
      <c r="I161" s="63"/>
      <c r="J161" s="63"/>
      <c r="K161" s="65"/>
      <c r="L161" s="66"/>
      <c r="X161" s="56"/>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2"/>
      <c r="BR161" s="22"/>
      <c r="BS161" s="22"/>
      <c r="BT161" s="22"/>
    </row>
    <row r="162" ht="15.75" customHeight="1">
      <c r="C162" s="65"/>
      <c r="D162" s="65"/>
      <c r="E162" s="66"/>
      <c r="G162" s="63"/>
      <c r="H162" s="63"/>
      <c r="I162" s="63"/>
      <c r="J162" s="63"/>
      <c r="K162" s="65"/>
      <c r="L162" s="66"/>
      <c r="X162" s="56"/>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2"/>
      <c r="BR162" s="22"/>
      <c r="BS162" s="22"/>
      <c r="BT162" s="22"/>
    </row>
    <row r="163" ht="15.75" customHeight="1">
      <c r="C163" s="65"/>
      <c r="D163" s="65"/>
      <c r="E163" s="66"/>
      <c r="G163" s="63"/>
      <c r="H163" s="63"/>
      <c r="I163" s="63"/>
      <c r="J163" s="63"/>
      <c r="K163" s="65"/>
      <c r="L163" s="66"/>
      <c r="X163" s="56"/>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2"/>
      <c r="BR163" s="22"/>
      <c r="BS163" s="22"/>
      <c r="BT163" s="22"/>
    </row>
    <row r="164" ht="15.75" customHeight="1">
      <c r="C164" s="65"/>
      <c r="D164" s="65"/>
      <c r="E164" s="66"/>
      <c r="G164" s="63"/>
      <c r="H164" s="63"/>
      <c r="I164" s="63"/>
      <c r="J164" s="63"/>
      <c r="K164" s="65"/>
      <c r="L164" s="66"/>
      <c r="X164" s="56"/>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row>
    <row r="165" ht="15.75" customHeight="1">
      <c r="C165" s="65"/>
      <c r="D165" s="65"/>
      <c r="E165" s="66"/>
      <c r="G165" s="63"/>
      <c r="H165" s="63"/>
      <c r="I165" s="63"/>
      <c r="J165" s="63"/>
      <c r="K165" s="65"/>
      <c r="L165" s="66"/>
      <c r="X165" s="56"/>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2"/>
      <c r="BR165" s="22"/>
      <c r="BS165" s="22"/>
      <c r="BT165" s="22"/>
    </row>
    <row r="166" ht="15.75" customHeight="1">
      <c r="C166" s="65"/>
      <c r="D166" s="65"/>
      <c r="E166" s="66"/>
      <c r="G166" s="63"/>
      <c r="H166" s="63"/>
      <c r="I166" s="63"/>
      <c r="J166" s="63"/>
      <c r="K166" s="65"/>
      <c r="L166" s="66"/>
      <c r="X166" s="56"/>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2"/>
      <c r="BR166" s="22"/>
      <c r="BS166" s="22"/>
      <c r="BT166" s="22"/>
    </row>
    <row r="167" ht="15.75" customHeight="1">
      <c r="C167" s="65"/>
      <c r="D167" s="65"/>
      <c r="E167" s="66"/>
      <c r="G167" s="63"/>
      <c r="H167" s="63"/>
      <c r="I167" s="63"/>
      <c r="J167" s="63"/>
      <c r="K167" s="65"/>
      <c r="L167" s="66"/>
      <c r="X167" s="56"/>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2"/>
      <c r="BR167" s="22"/>
      <c r="BS167" s="22"/>
      <c r="BT167" s="22"/>
    </row>
    <row r="168" ht="15.75" customHeight="1">
      <c r="C168" s="65"/>
      <c r="D168" s="65"/>
      <c r="E168" s="66"/>
      <c r="G168" s="63"/>
      <c r="H168" s="63"/>
      <c r="I168" s="63"/>
      <c r="J168" s="63"/>
      <c r="K168" s="65"/>
      <c r="L168" s="66"/>
      <c r="X168" s="56"/>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2"/>
      <c r="BR168" s="22"/>
      <c r="BS168" s="22"/>
      <c r="BT168" s="22"/>
    </row>
    <row r="169" ht="15.75" customHeight="1">
      <c r="C169" s="65"/>
      <c r="D169" s="65"/>
      <c r="E169" s="66"/>
      <c r="G169" s="63"/>
      <c r="H169" s="63"/>
      <c r="I169" s="63"/>
      <c r="J169" s="63"/>
      <c r="K169" s="65"/>
      <c r="L169" s="66"/>
      <c r="X169" s="56"/>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2"/>
      <c r="BR169" s="22"/>
      <c r="BS169" s="22"/>
      <c r="BT169" s="22"/>
    </row>
    <row r="170" ht="15.75" customHeight="1">
      <c r="C170" s="65"/>
      <c r="D170" s="65"/>
      <c r="E170" s="66"/>
      <c r="G170" s="63"/>
      <c r="H170" s="63"/>
      <c r="I170" s="63"/>
      <c r="J170" s="63"/>
      <c r="K170" s="65"/>
      <c r="L170" s="66"/>
      <c r="X170" s="56"/>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2"/>
      <c r="BR170" s="22"/>
      <c r="BS170" s="22"/>
      <c r="BT170" s="22"/>
    </row>
    <row r="171" ht="15.75" customHeight="1">
      <c r="C171" s="65"/>
      <c r="D171" s="65"/>
      <c r="E171" s="66"/>
      <c r="G171" s="63"/>
      <c r="H171" s="63"/>
      <c r="I171" s="63"/>
      <c r="J171" s="63"/>
      <c r="K171" s="65"/>
      <c r="L171" s="66"/>
      <c r="X171" s="56"/>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2"/>
      <c r="BR171" s="22"/>
      <c r="BS171" s="22"/>
      <c r="BT171" s="22"/>
    </row>
    <row r="172" ht="15.75" customHeight="1">
      <c r="C172" s="65"/>
      <c r="D172" s="65"/>
      <c r="E172" s="66"/>
      <c r="G172" s="63"/>
      <c r="H172" s="63"/>
      <c r="I172" s="63"/>
      <c r="J172" s="63"/>
      <c r="K172" s="65"/>
      <c r="L172" s="66"/>
      <c r="X172" s="56"/>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2"/>
      <c r="BR172" s="22"/>
      <c r="BS172" s="22"/>
      <c r="BT172" s="22"/>
    </row>
    <row r="173" ht="15.75" customHeight="1">
      <c r="C173" s="65"/>
      <c r="D173" s="65"/>
      <c r="E173" s="66"/>
      <c r="G173" s="63"/>
      <c r="H173" s="63"/>
      <c r="I173" s="63"/>
      <c r="J173" s="63"/>
      <c r="K173" s="65"/>
      <c r="L173" s="66"/>
      <c r="X173" s="56"/>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2"/>
      <c r="BR173" s="22"/>
      <c r="BS173" s="22"/>
      <c r="BT173" s="22"/>
    </row>
    <row r="174" ht="15.75" customHeight="1">
      <c r="C174" s="65"/>
      <c r="D174" s="65"/>
      <c r="E174" s="66"/>
      <c r="G174" s="63"/>
      <c r="H174" s="63"/>
      <c r="I174" s="63"/>
      <c r="J174" s="63"/>
      <c r="K174" s="65"/>
      <c r="L174" s="66"/>
      <c r="X174" s="56"/>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2"/>
      <c r="BR174" s="22"/>
      <c r="BS174" s="22"/>
      <c r="BT174" s="22"/>
    </row>
    <row r="175" ht="15.75" customHeight="1">
      <c r="C175" s="65"/>
      <c r="D175" s="65"/>
      <c r="E175" s="66"/>
      <c r="G175" s="63"/>
      <c r="H175" s="63"/>
      <c r="I175" s="63"/>
      <c r="J175" s="63"/>
      <c r="K175" s="65"/>
      <c r="L175" s="66"/>
      <c r="X175" s="56"/>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2"/>
      <c r="BR175" s="22"/>
      <c r="BS175" s="22"/>
      <c r="BT175" s="22"/>
    </row>
    <row r="176" ht="15.75" customHeight="1">
      <c r="C176" s="65"/>
      <c r="D176" s="65"/>
      <c r="E176" s="66"/>
      <c r="G176" s="63"/>
      <c r="H176" s="63"/>
      <c r="I176" s="63"/>
      <c r="J176" s="63"/>
      <c r="K176" s="65"/>
      <c r="L176" s="66"/>
      <c r="X176" s="56"/>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row>
    <row r="177" ht="15.75" customHeight="1">
      <c r="C177" s="65"/>
      <c r="D177" s="65"/>
      <c r="E177" s="66"/>
      <c r="G177" s="63"/>
      <c r="H177" s="63"/>
      <c r="I177" s="63"/>
      <c r="J177" s="63"/>
      <c r="K177" s="65"/>
      <c r="L177" s="66"/>
      <c r="X177" s="56"/>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22"/>
    </row>
    <row r="178" ht="15.75" customHeight="1">
      <c r="C178" s="65"/>
      <c r="D178" s="65"/>
      <c r="E178" s="66"/>
      <c r="G178" s="63"/>
      <c r="H178" s="63"/>
      <c r="I178" s="63"/>
      <c r="J178" s="63"/>
      <c r="K178" s="65"/>
      <c r="L178" s="66"/>
      <c r="X178" s="56"/>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2"/>
      <c r="BR178" s="22"/>
      <c r="BS178" s="22"/>
      <c r="BT178" s="22"/>
    </row>
    <row r="179" ht="15.75" customHeight="1">
      <c r="C179" s="65"/>
      <c r="D179" s="65"/>
      <c r="E179" s="66"/>
      <c r="G179" s="63"/>
      <c r="H179" s="63"/>
      <c r="I179" s="63"/>
      <c r="J179" s="63"/>
      <c r="K179" s="65"/>
      <c r="L179" s="66"/>
      <c r="X179" s="56"/>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row>
    <row r="180" ht="15.75" customHeight="1">
      <c r="C180" s="65"/>
      <c r="D180" s="65"/>
      <c r="E180" s="66"/>
      <c r="G180" s="63"/>
      <c r="H180" s="63"/>
      <c r="I180" s="63"/>
      <c r="J180" s="63"/>
      <c r="K180" s="65"/>
      <c r="L180" s="66"/>
      <c r="X180" s="56"/>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2"/>
      <c r="BR180" s="22"/>
      <c r="BS180" s="22"/>
      <c r="BT180" s="22"/>
    </row>
    <row r="181" ht="15.75" customHeight="1">
      <c r="C181" s="65"/>
      <c r="D181" s="65"/>
      <c r="E181" s="66"/>
      <c r="G181" s="63"/>
      <c r="H181" s="63"/>
      <c r="I181" s="63"/>
      <c r="J181" s="63"/>
      <c r="K181" s="65"/>
      <c r="L181" s="66"/>
      <c r="X181" s="56"/>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2"/>
      <c r="BR181" s="22"/>
      <c r="BS181" s="22"/>
      <c r="BT181" s="22"/>
    </row>
    <row r="182" ht="15.75" customHeight="1">
      <c r="C182" s="65"/>
      <c r="D182" s="65"/>
      <c r="E182" s="66"/>
      <c r="G182" s="63"/>
      <c r="H182" s="63"/>
      <c r="I182" s="63"/>
      <c r="J182" s="63"/>
      <c r="K182" s="65"/>
      <c r="L182" s="66"/>
      <c r="X182" s="56"/>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2"/>
      <c r="BR182" s="22"/>
      <c r="BS182" s="22"/>
      <c r="BT182" s="22"/>
    </row>
    <row r="183" ht="15.75" customHeight="1">
      <c r="C183" s="65"/>
      <c r="D183" s="65"/>
      <c r="E183" s="66"/>
      <c r="G183" s="63"/>
      <c r="H183" s="63"/>
      <c r="I183" s="63"/>
      <c r="J183" s="63"/>
      <c r="K183" s="65"/>
      <c r="L183" s="66"/>
      <c r="X183" s="56"/>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2"/>
      <c r="BR183" s="22"/>
      <c r="BS183" s="22"/>
      <c r="BT183" s="22"/>
    </row>
    <row r="184" ht="15.75" customHeight="1">
      <c r="C184" s="65"/>
      <c r="D184" s="65"/>
      <c r="E184" s="66"/>
      <c r="G184" s="63"/>
      <c r="H184" s="63"/>
      <c r="I184" s="63"/>
      <c r="J184" s="63"/>
      <c r="K184" s="65"/>
      <c r="L184" s="66"/>
      <c r="X184" s="56"/>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2"/>
      <c r="BR184" s="22"/>
      <c r="BS184" s="22"/>
      <c r="BT184" s="22"/>
    </row>
    <row r="185" ht="15.75" customHeight="1">
      <c r="C185" s="65"/>
      <c r="D185" s="65"/>
      <c r="E185" s="66"/>
      <c r="G185" s="63"/>
      <c r="H185" s="63"/>
      <c r="I185" s="63"/>
      <c r="J185" s="63"/>
      <c r="K185" s="65"/>
      <c r="L185" s="66"/>
      <c r="X185" s="56"/>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2"/>
      <c r="BR185" s="22"/>
      <c r="BS185" s="22"/>
      <c r="BT185" s="22"/>
    </row>
    <row r="186" ht="15.75" customHeight="1">
      <c r="C186" s="65"/>
      <c r="D186" s="65"/>
      <c r="E186" s="66"/>
      <c r="G186" s="63"/>
      <c r="H186" s="63"/>
      <c r="I186" s="63"/>
      <c r="J186" s="63"/>
      <c r="K186" s="65"/>
      <c r="L186" s="66"/>
      <c r="X186" s="56"/>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2"/>
      <c r="BR186" s="22"/>
      <c r="BS186" s="22"/>
      <c r="BT186" s="22"/>
    </row>
    <row r="187" ht="15.75" customHeight="1">
      <c r="C187" s="65"/>
      <c r="D187" s="65"/>
      <c r="E187" s="66"/>
      <c r="G187" s="63"/>
      <c r="H187" s="63"/>
      <c r="I187" s="63"/>
      <c r="J187" s="63"/>
      <c r="K187" s="65"/>
      <c r="L187" s="66"/>
      <c r="X187" s="56"/>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row>
    <row r="188" ht="15.75" customHeight="1">
      <c r="C188" s="65"/>
      <c r="D188" s="65"/>
      <c r="E188" s="66"/>
      <c r="G188" s="63"/>
      <c r="H188" s="63"/>
      <c r="I188" s="63"/>
      <c r="J188" s="63"/>
      <c r="K188" s="65"/>
      <c r="L188" s="66"/>
      <c r="X188" s="56"/>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2"/>
      <c r="BR188" s="22"/>
      <c r="BS188" s="22"/>
      <c r="BT188" s="22"/>
    </row>
    <row r="189" ht="15.75" customHeight="1">
      <c r="C189" s="65"/>
      <c r="D189" s="65"/>
      <c r="E189" s="66"/>
      <c r="G189" s="63"/>
      <c r="H189" s="63"/>
      <c r="I189" s="63"/>
      <c r="J189" s="63"/>
      <c r="K189" s="65"/>
      <c r="L189" s="66"/>
      <c r="X189" s="56"/>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2"/>
      <c r="BR189" s="22"/>
      <c r="BS189" s="22"/>
      <c r="BT189" s="22"/>
    </row>
    <row r="190" ht="15.75" customHeight="1">
      <c r="C190" s="65"/>
      <c r="D190" s="65"/>
      <c r="E190" s="66"/>
      <c r="G190" s="63"/>
      <c r="H190" s="63"/>
      <c r="I190" s="63"/>
      <c r="J190" s="63"/>
      <c r="K190" s="65"/>
      <c r="L190" s="66"/>
      <c r="X190" s="56"/>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2"/>
      <c r="BR190" s="22"/>
      <c r="BS190" s="22"/>
      <c r="BT190" s="22"/>
    </row>
    <row r="191" ht="15.75" customHeight="1">
      <c r="C191" s="65"/>
      <c r="D191" s="65"/>
      <c r="E191" s="66"/>
      <c r="G191" s="63"/>
      <c r="H191" s="63"/>
      <c r="I191" s="63"/>
      <c r="J191" s="63"/>
      <c r="K191" s="65"/>
      <c r="L191" s="66"/>
      <c r="X191" s="56"/>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2"/>
      <c r="BR191" s="22"/>
      <c r="BS191" s="22"/>
      <c r="BT191" s="22"/>
    </row>
    <row r="192" ht="15.75" customHeight="1">
      <c r="C192" s="65"/>
      <c r="D192" s="65"/>
      <c r="E192" s="66"/>
      <c r="G192" s="63"/>
      <c r="H192" s="63"/>
      <c r="I192" s="63"/>
      <c r="J192" s="63"/>
      <c r="K192" s="65"/>
      <c r="L192" s="66"/>
      <c r="X192" s="56"/>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2"/>
      <c r="BR192" s="22"/>
      <c r="BS192" s="22"/>
      <c r="BT192" s="22"/>
    </row>
    <row r="193" ht="15.75" customHeight="1">
      <c r="C193" s="65"/>
      <c r="D193" s="65"/>
      <c r="E193" s="66"/>
      <c r="G193" s="63"/>
      <c r="H193" s="63"/>
      <c r="I193" s="63"/>
      <c r="J193" s="63"/>
      <c r="K193" s="65"/>
      <c r="L193" s="66"/>
      <c r="X193" s="56"/>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2"/>
      <c r="BR193" s="22"/>
      <c r="BS193" s="22"/>
      <c r="BT193" s="22"/>
    </row>
    <row r="194" ht="15.75" customHeight="1">
      <c r="C194" s="65"/>
      <c r="D194" s="65"/>
      <c r="E194" s="66"/>
      <c r="G194" s="63"/>
      <c r="H194" s="63"/>
      <c r="I194" s="63"/>
      <c r="J194" s="63"/>
      <c r="K194" s="65"/>
      <c r="L194" s="66"/>
      <c r="X194" s="56"/>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2"/>
      <c r="BR194" s="22"/>
      <c r="BS194" s="22"/>
      <c r="BT194" s="22"/>
    </row>
    <row r="195" ht="15.75" customHeight="1">
      <c r="C195" s="65"/>
      <c r="D195" s="65"/>
      <c r="E195" s="66"/>
      <c r="G195" s="63"/>
      <c r="H195" s="63"/>
      <c r="I195" s="63"/>
      <c r="J195" s="63"/>
      <c r="K195" s="65"/>
      <c r="L195" s="66"/>
      <c r="X195" s="56"/>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2"/>
      <c r="BR195" s="22"/>
      <c r="BS195" s="22"/>
      <c r="BT195" s="22"/>
    </row>
    <row r="196" ht="15.75" customHeight="1">
      <c r="C196" s="65"/>
      <c r="D196" s="65"/>
      <c r="E196" s="66"/>
      <c r="G196" s="63"/>
      <c r="H196" s="63"/>
      <c r="I196" s="63"/>
      <c r="J196" s="63"/>
      <c r="K196" s="65"/>
      <c r="L196" s="66"/>
      <c r="X196" s="56"/>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2"/>
      <c r="BR196" s="22"/>
      <c r="BS196" s="22"/>
      <c r="BT196" s="22"/>
    </row>
    <row r="197" ht="15.75" customHeight="1">
      <c r="C197" s="65"/>
      <c r="D197" s="65"/>
      <c r="E197" s="66"/>
      <c r="G197" s="63"/>
      <c r="H197" s="63"/>
      <c r="I197" s="63"/>
      <c r="J197" s="63"/>
      <c r="K197" s="65"/>
      <c r="L197" s="66"/>
      <c r="X197" s="56"/>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2"/>
      <c r="BR197" s="22"/>
      <c r="BS197" s="22"/>
      <c r="BT197" s="22"/>
    </row>
    <row r="198" ht="15.75" customHeight="1">
      <c r="C198" s="65"/>
      <c r="D198" s="65"/>
      <c r="E198" s="66"/>
      <c r="G198" s="63"/>
      <c r="H198" s="63"/>
      <c r="I198" s="63"/>
      <c r="J198" s="63"/>
      <c r="K198" s="65"/>
      <c r="L198" s="66"/>
      <c r="X198" s="56"/>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2"/>
      <c r="BR198" s="22"/>
      <c r="BS198" s="22"/>
      <c r="BT198" s="22"/>
    </row>
    <row r="199" ht="15.75" customHeight="1">
      <c r="C199" s="65"/>
      <c r="D199" s="65"/>
      <c r="E199" s="66"/>
      <c r="G199" s="63"/>
      <c r="H199" s="63"/>
      <c r="I199" s="63"/>
      <c r="J199" s="63"/>
      <c r="K199" s="65"/>
      <c r="L199" s="66"/>
      <c r="X199" s="56"/>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Q199" s="22"/>
      <c r="BR199" s="22"/>
      <c r="BS199" s="22"/>
      <c r="BT199" s="22"/>
    </row>
    <row r="200" ht="15.75" customHeight="1">
      <c r="C200" s="65"/>
      <c r="D200" s="65"/>
      <c r="E200" s="66"/>
      <c r="G200" s="63"/>
      <c r="H200" s="63"/>
      <c r="I200" s="63"/>
      <c r="J200" s="63"/>
      <c r="K200" s="65"/>
      <c r="L200" s="66"/>
      <c r="X200" s="56"/>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2"/>
      <c r="BR200" s="22"/>
      <c r="BS200" s="22"/>
      <c r="BT200" s="22"/>
    </row>
    <row r="201" ht="15.75" customHeight="1">
      <c r="C201" s="65"/>
      <c r="D201" s="65"/>
      <c r="E201" s="66"/>
      <c r="G201" s="63"/>
      <c r="H201" s="63"/>
      <c r="I201" s="63"/>
      <c r="J201" s="63"/>
      <c r="K201" s="65"/>
      <c r="L201" s="66"/>
      <c r="X201" s="56"/>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2"/>
      <c r="BQ201" s="22"/>
      <c r="BR201" s="22"/>
      <c r="BS201" s="22"/>
      <c r="BT201" s="22"/>
    </row>
    <row r="202" ht="15.75" customHeight="1">
      <c r="C202" s="65"/>
      <c r="D202" s="65"/>
      <c r="E202" s="66"/>
      <c r="G202" s="63"/>
      <c r="H202" s="63"/>
      <c r="I202" s="63"/>
      <c r="J202" s="63"/>
      <c r="K202" s="65"/>
      <c r="L202" s="66"/>
      <c r="X202" s="56"/>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2"/>
      <c r="BQ202" s="22"/>
      <c r="BR202" s="22"/>
      <c r="BS202" s="22"/>
      <c r="BT202" s="22"/>
    </row>
    <row r="203" ht="15.75" customHeight="1">
      <c r="C203" s="65"/>
      <c r="D203" s="65"/>
      <c r="E203" s="66"/>
      <c r="G203" s="63"/>
      <c r="H203" s="63"/>
      <c r="I203" s="63"/>
      <c r="J203" s="63"/>
      <c r="K203" s="65"/>
      <c r="L203" s="66"/>
      <c r="X203" s="56"/>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2"/>
      <c r="BQ203" s="22"/>
      <c r="BR203" s="22"/>
      <c r="BS203" s="22"/>
      <c r="BT203" s="22"/>
    </row>
    <row r="204" ht="15.75" customHeight="1">
      <c r="C204" s="65"/>
      <c r="D204" s="65"/>
      <c r="E204" s="66"/>
      <c r="G204" s="63"/>
      <c r="H204" s="63"/>
      <c r="I204" s="63"/>
      <c r="J204" s="63"/>
      <c r="K204" s="65"/>
      <c r="L204" s="66"/>
      <c r="X204" s="56"/>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2"/>
      <c r="BR204" s="22"/>
      <c r="BS204" s="22"/>
      <c r="BT204" s="22"/>
    </row>
    <row r="205" ht="15.75" customHeight="1">
      <c r="C205" s="65"/>
      <c r="D205" s="65"/>
      <c r="E205" s="66"/>
      <c r="G205" s="63"/>
      <c r="H205" s="63"/>
      <c r="I205" s="63"/>
      <c r="J205" s="63"/>
      <c r="K205" s="65"/>
      <c r="L205" s="66"/>
      <c r="X205" s="56"/>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2"/>
      <c r="BQ205" s="22"/>
      <c r="BR205" s="22"/>
      <c r="BS205" s="22"/>
      <c r="BT205" s="22"/>
    </row>
    <row r="206" ht="15.75" customHeight="1">
      <c r="C206" s="65"/>
      <c r="D206" s="65"/>
      <c r="E206" s="66"/>
      <c r="G206" s="63"/>
      <c r="H206" s="63"/>
      <c r="I206" s="63"/>
      <c r="J206" s="63"/>
      <c r="K206" s="65"/>
      <c r="L206" s="66"/>
      <c r="X206" s="56"/>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2"/>
      <c r="BQ206" s="22"/>
      <c r="BR206" s="22"/>
      <c r="BS206" s="22"/>
      <c r="BT206" s="22"/>
    </row>
    <row r="207" ht="15.75" customHeight="1">
      <c r="C207" s="65"/>
      <c r="D207" s="65"/>
      <c r="E207" s="66"/>
      <c r="G207" s="63"/>
      <c r="H207" s="63"/>
      <c r="I207" s="63"/>
      <c r="J207" s="63"/>
      <c r="K207" s="65"/>
      <c r="L207" s="66"/>
      <c r="X207" s="56"/>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2"/>
      <c r="BQ207" s="22"/>
      <c r="BR207" s="22"/>
      <c r="BS207" s="22"/>
      <c r="BT207" s="22"/>
    </row>
    <row r="208" ht="15.75" customHeight="1">
      <c r="C208" s="65"/>
      <c r="D208" s="65"/>
      <c r="E208" s="66"/>
      <c r="G208" s="63"/>
      <c r="H208" s="63"/>
      <c r="I208" s="63"/>
      <c r="J208" s="63"/>
      <c r="K208" s="65"/>
      <c r="L208" s="66"/>
      <c r="X208" s="56"/>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2"/>
      <c r="BR208" s="22"/>
      <c r="BS208" s="22"/>
      <c r="BT208" s="22"/>
    </row>
    <row r="209" ht="15.75" customHeight="1">
      <c r="C209" s="65"/>
      <c r="D209" s="65"/>
      <c r="E209" s="66"/>
      <c r="G209" s="63"/>
      <c r="H209" s="63"/>
      <c r="I209" s="63"/>
      <c r="J209" s="63"/>
      <c r="K209" s="65"/>
      <c r="L209" s="66"/>
      <c r="X209" s="56"/>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2"/>
      <c r="BR209" s="22"/>
      <c r="BS209" s="22"/>
      <c r="BT209" s="22"/>
    </row>
    <row r="210" ht="15.75" customHeight="1">
      <c r="C210" s="65"/>
      <c r="D210" s="65"/>
      <c r="E210" s="66"/>
      <c r="G210" s="63"/>
      <c r="H210" s="63"/>
      <c r="I210" s="63"/>
      <c r="J210" s="63"/>
      <c r="K210" s="65"/>
      <c r="L210" s="66"/>
      <c r="X210" s="56"/>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row>
    <row r="211" ht="15.75" customHeight="1">
      <c r="C211" s="65"/>
      <c r="D211" s="65"/>
      <c r="E211" s="66"/>
      <c r="G211" s="63"/>
      <c r="H211" s="63"/>
      <c r="I211" s="63"/>
      <c r="J211" s="63"/>
      <c r="K211" s="65"/>
      <c r="L211" s="66"/>
      <c r="X211" s="56"/>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row>
    <row r="212" ht="15.75" customHeight="1">
      <c r="C212" s="65"/>
      <c r="D212" s="65"/>
      <c r="E212" s="66"/>
      <c r="G212" s="63"/>
      <c r="H212" s="63"/>
      <c r="I212" s="63"/>
      <c r="J212" s="63"/>
      <c r="K212" s="65"/>
      <c r="L212" s="66"/>
      <c r="X212" s="56"/>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row>
    <row r="213" ht="15.75" customHeight="1">
      <c r="C213" s="65"/>
      <c r="D213" s="65"/>
      <c r="E213" s="66"/>
      <c r="G213" s="63"/>
      <c r="H213" s="63"/>
      <c r="I213" s="63"/>
      <c r="J213" s="63"/>
      <c r="K213" s="65"/>
      <c r="L213" s="66"/>
      <c r="X213" s="56"/>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row>
    <row r="214" ht="15.75" customHeight="1">
      <c r="C214" s="65"/>
      <c r="D214" s="65"/>
      <c r="E214" s="66"/>
      <c r="G214" s="63"/>
      <c r="H214" s="63"/>
      <c r="I214" s="63"/>
      <c r="J214" s="63"/>
      <c r="K214" s="65"/>
      <c r="L214" s="66"/>
      <c r="X214" s="56"/>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row>
    <row r="215" ht="15.75" customHeight="1">
      <c r="C215" s="65"/>
      <c r="D215" s="65"/>
      <c r="E215" s="66"/>
      <c r="G215" s="63"/>
      <c r="H215" s="63"/>
      <c r="I215" s="63"/>
      <c r="J215" s="63"/>
      <c r="K215" s="65"/>
      <c r="L215" s="66"/>
      <c r="X215" s="56"/>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row>
    <row r="216" ht="15.75" customHeight="1">
      <c r="C216" s="65"/>
      <c r="D216" s="65"/>
      <c r="E216" s="66"/>
      <c r="G216" s="63"/>
      <c r="H216" s="63"/>
      <c r="I216" s="63"/>
      <c r="J216" s="63"/>
      <c r="K216" s="65"/>
      <c r="L216" s="66"/>
      <c r="X216" s="56"/>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row>
    <row r="217" ht="15.75" customHeight="1">
      <c r="C217" s="65"/>
      <c r="D217" s="65"/>
      <c r="E217" s="66"/>
      <c r="G217" s="63"/>
      <c r="H217" s="63"/>
      <c r="I217" s="63"/>
      <c r="J217" s="63"/>
      <c r="K217" s="65"/>
      <c r="L217" s="66"/>
      <c r="X217" s="56"/>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row>
    <row r="218" ht="15.75" customHeight="1">
      <c r="C218" s="65"/>
      <c r="D218" s="65"/>
      <c r="E218" s="66"/>
      <c r="G218" s="63"/>
      <c r="H218" s="63"/>
      <c r="I218" s="63"/>
      <c r="J218" s="63"/>
      <c r="K218" s="65"/>
      <c r="L218" s="66"/>
      <c r="X218" s="56"/>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row>
    <row r="219" ht="15.75" customHeight="1">
      <c r="C219" s="65"/>
      <c r="D219" s="65"/>
      <c r="E219" s="66"/>
      <c r="G219" s="63"/>
      <c r="H219" s="63"/>
      <c r="I219" s="63"/>
      <c r="J219" s="63"/>
      <c r="K219" s="65"/>
      <c r="L219" s="66"/>
      <c r="X219" s="56"/>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row>
    <row r="220" ht="15.75" customHeight="1">
      <c r="C220" s="65"/>
      <c r="D220" s="65"/>
      <c r="E220" s="66"/>
      <c r="G220" s="63"/>
      <c r="H220" s="63"/>
      <c r="I220" s="63"/>
      <c r="J220" s="63"/>
      <c r="K220" s="65"/>
      <c r="L220" s="66"/>
      <c r="X220" s="56"/>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row>
    <row r="221" ht="15.75" customHeight="1">
      <c r="C221" s="65"/>
      <c r="D221" s="65"/>
      <c r="E221" s="66"/>
      <c r="G221" s="63"/>
      <c r="H221" s="63"/>
      <c r="I221" s="63"/>
      <c r="J221" s="63"/>
      <c r="K221" s="65"/>
      <c r="L221" s="66"/>
      <c r="X221" s="56"/>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row>
    <row r="222" ht="15.75" customHeight="1">
      <c r="C222" s="65"/>
      <c r="D222" s="65"/>
      <c r="E222" s="66"/>
      <c r="G222" s="63"/>
      <c r="H222" s="63"/>
      <c r="I222" s="63"/>
      <c r="J222" s="63"/>
      <c r="K222" s="65"/>
      <c r="L222" s="66"/>
      <c r="X222" s="56"/>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row>
    <row r="223" ht="15.75" customHeight="1">
      <c r="C223" s="65"/>
      <c r="D223" s="65"/>
      <c r="E223" s="66"/>
      <c r="G223" s="63"/>
      <c r="H223" s="63"/>
      <c r="I223" s="63"/>
      <c r="J223" s="63"/>
      <c r="K223" s="65"/>
      <c r="L223" s="66"/>
      <c r="X223" s="56"/>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row>
    <row r="224" ht="15.75" customHeight="1">
      <c r="C224" s="65"/>
      <c r="D224" s="65"/>
      <c r="E224" s="66"/>
      <c r="G224" s="63"/>
      <c r="H224" s="63"/>
      <c r="I224" s="63"/>
      <c r="J224" s="63"/>
      <c r="K224" s="65"/>
      <c r="L224" s="66"/>
      <c r="X224" s="56"/>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row>
    <row r="225" ht="15.75" customHeight="1">
      <c r="C225" s="65"/>
      <c r="D225" s="65"/>
      <c r="E225" s="66"/>
      <c r="G225" s="63"/>
      <c r="H225" s="63"/>
      <c r="I225" s="63"/>
      <c r="J225" s="63"/>
      <c r="K225" s="65"/>
      <c r="L225" s="66"/>
      <c r="X225" s="56"/>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row>
    <row r="226" ht="15.75" customHeight="1">
      <c r="C226" s="65"/>
      <c r="D226" s="65"/>
      <c r="E226" s="66"/>
      <c r="G226" s="63"/>
      <c r="H226" s="63"/>
      <c r="I226" s="63"/>
      <c r="J226" s="63"/>
      <c r="K226" s="65"/>
      <c r="L226" s="66"/>
      <c r="X226" s="56"/>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row>
    <row r="227" ht="15.75" customHeight="1">
      <c r="C227" s="65"/>
      <c r="D227" s="65"/>
      <c r="E227" s="66"/>
      <c r="G227" s="63"/>
      <c r="H227" s="63"/>
      <c r="I227" s="63"/>
      <c r="J227" s="63"/>
      <c r="K227" s="65"/>
      <c r="L227" s="66"/>
      <c r="X227" s="56"/>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row>
    <row r="228" ht="15.75" customHeight="1">
      <c r="C228" s="65"/>
      <c r="D228" s="65"/>
      <c r="E228" s="66"/>
      <c r="G228" s="63"/>
      <c r="H228" s="63"/>
      <c r="I228" s="63"/>
      <c r="J228" s="63"/>
      <c r="K228" s="65"/>
      <c r="L228" s="66"/>
      <c r="X228" s="56"/>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row>
  </sheetData>
  <autoFilter ref="$A$1:$BT$28"/>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2" width="12.57"/>
    <col customWidth="1" min="3" max="3" width="34.0"/>
    <col customWidth="1" min="4" max="4" width="41.71"/>
    <col customWidth="1" min="5" max="5" width="12.57"/>
    <col customWidth="1" min="6" max="6" width="33.71"/>
    <col customWidth="1" min="7" max="7" width="23.57"/>
    <col customWidth="1" min="8" max="8" width="13.29"/>
    <col customWidth="1" min="9" max="9" width="12.14"/>
    <col customWidth="1" min="10" max="10" width="34.14"/>
    <col customWidth="1" min="11" max="11" width="12.29"/>
    <col customWidth="1" min="12" max="12" width="25.43"/>
    <col customWidth="1" min="13" max="13" width="15.57"/>
    <col customWidth="1" min="14" max="14" width="22.71"/>
    <col customWidth="1" min="15" max="15" width="11.86"/>
    <col customWidth="1" min="16" max="16" width="30.0"/>
    <col customWidth="1" min="17" max="17" width="15.86"/>
    <col customWidth="1" min="18" max="18" width="31.43"/>
    <col customWidth="1" min="19" max="19" width="24.57"/>
    <col customWidth="1" min="20" max="54" width="7.43"/>
    <col customWidth="1" min="55" max="65" width="7.86"/>
    <col customWidth="1" min="66" max="66" width="6.43"/>
    <col customWidth="1" min="67" max="67" width="7.86"/>
  </cols>
  <sheetData>
    <row r="1" ht="71.25" customHeight="1">
      <c r="A1" s="56" t="s">
        <v>0</v>
      </c>
      <c r="B1" s="67" t="s">
        <v>1</v>
      </c>
      <c r="C1" s="16" t="s">
        <v>2</v>
      </c>
      <c r="D1" s="16" t="s">
        <v>10</v>
      </c>
      <c r="E1" s="67" t="s">
        <v>227</v>
      </c>
      <c r="F1" s="67" t="s">
        <v>228</v>
      </c>
      <c r="G1" s="67" t="s">
        <v>5</v>
      </c>
      <c r="H1" s="67" t="s">
        <v>12</v>
      </c>
      <c r="I1" s="67" t="s">
        <v>13</v>
      </c>
      <c r="J1" s="67" t="s">
        <v>14</v>
      </c>
      <c r="K1" s="67" t="s">
        <v>15</v>
      </c>
      <c r="L1" s="67" t="s">
        <v>16</v>
      </c>
      <c r="M1" s="67" t="s">
        <v>17</v>
      </c>
      <c r="N1" s="67" t="s">
        <v>18</v>
      </c>
      <c r="O1" s="67" t="s">
        <v>19</v>
      </c>
      <c r="P1" s="67" t="s">
        <v>20</v>
      </c>
      <c r="Q1" s="67" t="s">
        <v>21</v>
      </c>
      <c r="R1" s="67" t="s">
        <v>22</v>
      </c>
      <c r="S1" s="67" t="s">
        <v>23</v>
      </c>
      <c r="T1" s="68" t="s">
        <v>13</v>
      </c>
      <c r="U1" s="68" t="s">
        <v>14</v>
      </c>
      <c r="V1" s="68" t="s">
        <v>15</v>
      </c>
      <c r="W1" s="68" t="s">
        <v>16</v>
      </c>
      <c r="X1" s="68" t="s">
        <v>17</v>
      </c>
      <c r="Y1" s="68" t="s">
        <v>18</v>
      </c>
      <c r="Z1" s="68" t="s">
        <v>19</v>
      </c>
      <c r="AA1" s="68" t="s">
        <v>20</v>
      </c>
      <c r="AB1" s="68" t="s">
        <v>21</v>
      </c>
      <c r="AC1" s="68" t="s">
        <v>22</v>
      </c>
      <c r="AD1" s="68" t="s">
        <v>23</v>
      </c>
      <c r="AE1" s="68" t="s">
        <v>12</v>
      </c>
      <c r="AF1" s="69" t="s">
        <v>13</v>
      </c>
      <c r="AG1" s="69" t="s">
        <v>14</v>
      </c>
      <c r="AH1" s="69" t="s">
        <v>15</v>
      </c>
      <c r="AI1" s="69" t="s">
        <v>16</v>
      </c>
      <c r="AJ1" s="69" t="s">
        <v>17</v>
      </c>
      <c r="AK1" s="69" t="s">
        <v>18</v>
      </c>
      <c r="AL1" s="69" t="s">
        <v>19</v>
      </c>
      <c r="AM1" s="69" t="s">
        <v>20</v>
      </c>
      <c r="AN1" s="69" t="s">
        <v>21</v>
      </c>
      <c r="AO1" s="69" t="s">
        <v>22</v>
      </c>
      <c r="AP1" s="69" t="s">
        <v>23</v>
      </c>
      <c r="AQ1" s="68" t="s">
        <v>12</v>
      </c>
      <c r="AR1" s="68" t="s">
        <v>13</v>
      </c>
      <c r="AS1" s="68" t="s">
        <v>14</v>
      </c>
      <c r="AT1" s="68" t="s">
        <v>15</v>
      </c>
      <c r="AU1" s="68" t="s">
        <v>16</v>
      </c>
      <c r="AV1" s="68" t="s">
        <v>17</v>
      </c>
      <c r="AW1" s="68" t="s">
        <v>18</v>
      </c>
      <c r="AX1" s="68" t="s">
        <v>19</v>
      </c>
      <c r="AY1" s="68" t="s">
        <v>20</v>
      </c>
      <c r="AZ1" s="68" t="s">
        <v>21</v>
      </c>
      <c r="BA1" s="68" t="s">
        <v>22</v>
      </c>
      <c r="BB1" s="68" t="s">
        <v>23</v>
      </c>
      <c r="BC1" s="69" t="s">
        <v>12</v>
      </c>
      <c r="BD1" s="69" t="s">
        <v>13</v>
      </c>
      <c r="BE1" s="69" t="s">
        <v>14</v>
      </c>
      <c r="BF1" s="69" t="s">
        <v>15</v>
      </c>
      <c r="BG1" s="69" t="s">
        <v>16</v>
      </c>
      <c r="BH1" s="69" t="s">
        <v>17</v>
      </c>
      <c r="BI1" s="69" t="s">
        <v>18</v>
      </c>
      <c r="BJ1" s="69" t="s">
        <v>19</v>
      </c>
      <c r="BK1" s="69" t="s">
        <v>20</v>
      </c>
      <c r="BL1" s="69" t="s">
        <v>21</v>
      </c>
      <c r="BM1" s="69" t="s">
        <v>22</v>
      </c>
      <c r="BN1" s="69" t="s">
        <v>23</v>
      </c>
      <c r="BO1" s="68" t="s">
        <v>12</v>
      </c>
    </row>
    <row r="2" ht="66.0" customHeight="1">
      <c r="A2" s="53" t="s">
        <v>229</v>
      </c>
      <c r="B2" s="17" t="s">
        <v>230</v>
      </c>
      <c r="C2" s="16" t="s">
        <v>179</v>
      </c>
      <c r="D2" s="16" t="s">
        <v>186</v>
      </c>
      <c r="E2" s="17" t="s">
        <v>187</v>
      </c>
      <c r="F2" s="56"/>
      <c r="G2" s="53"/>
      <c r="S2" s="56"/>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row>
    <row r="3" ht="66.0" customHeight="1">
      <c r="A3" s="53" t="s">
        <v>231</v>
      </c>
      <c r="B3" s="17" t="s">
        <v>230</v>
      </c>
      <c r="C3" s="16" t="s">
        <v>154</v>
      </c>
      <c r="D3" s="16" t="s">
        <v>155</v>
      </c>
      <c r="E3" s="17" t="s">
        <v>156</v>
      </c>
      <c r="F3" s="56"/>
      <c r="G3" s="53"/>
      <c r="S3" s="56"/>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row>
    <row r="4" ht="66.0" customHeight="1">
      <c r="A4" s="53" t="s">
        <v>232</v>
      </c>
      <c r="B4" s="17" t="s">
        <v>230</v>
      </c>
      <c r="C4" s="16" t="s">
        <v>112</v>
      </c>
      <c r="D4" s="16" t="s">
        <v>117</v>
      </c>
      <c r="E4" s="17" t="s">
        <v>114</v>
      </c>
      <c r="F4" s="56"/>
      <c r="G4" s="53"/>
      <c r="S4" s="56"/>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row>
    <row r="5" ht="66.0" customHeight="1">
      <c r="A5" s="53" t="s">
        <v>233</v>
      </c>
      <c r="B5" s="17" t="s">
        <v>230</v>
      </c>
      <c r="C5" s="16" t="s">
        <v>144</v>
      </c>
      <c r="D5" s="16" t="s">
        <v>145</v>
      </c>
      <c r="E5" s="17" t="s">
        <v>146</v>
      </c>
      <c r="F5" s="56"/>
      <c r="G5" s="53"/>
      <c r="S5" s="56"/>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row>
    <row r="6" ht="66.0" customHeight="1">
      <c r="A6" s="53" t="s">
        <v>234</v>
      </c>
      <c r="B6" s="17" t="s">
        <v>230</v>
      </c>
      <c r="C6" s="16" t="s">
        <v>40</v>
      </c>
      <c r="D6" s="16" t="s">
        <v>45</v>
      </c>
      <c r="E6" s="17" t="s">
        <v>46</v>
      </c>
      <c r="F6" s="56"/>
      <c r="G6" s="53"/>
      <c r="S6" s="56"/>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row>
    <row r="7" ht="66.0" customHeight="1">
      <c r="A7" s="53" t="s">
        <v>24</v>
      </c>
      <c r="B7" s="17" t="s">
        <v>25</v>
      </c>
      <c r="C7" s="16" t="s">
        <v>26</v>
      </c>
      <c r="D7" s="16" t="s">
        <v>31</v>
      </c>
      <c r="E7" s="17" t="s">
        <v>28</v>
      </c>
      <c r="F7" s="70" t="s">
        <v>95</v>
      </c>
      <c r="G7" s="13" t="str">
        <f>'תגובות לטופס 2- לירן יהודאי'!$A$2</f>
        <v>8/24/2026 12:20:28</v>
      </c>
      <c r="H7" s="18" t="str">
        <f>'תגובות לטופס 2- לירן יהודאי'!B2</f>
        <v>נכונה</v>
      </c>
      <c r="I7" s="18" t="str">
        <f>'תגובות לטופס 2- לירן יהודאי'!C2</f>
        <v>9</v>
      </c>
      <c r="J7" s="19" t="str">
        <f>'תגובות לטופס 2- לירן יהודאי'!D2</f>
        <v/>
      </c>
      <c r="K7" s="18" t="str">
        <f>'תגובות לטופס 2- לירן יהודאי'!E2</f>
        <v>9</v>
      </c>
      <c r="L7" s="19" t="str">
        <f>'תגובות לטופס 2- לירן יהודאי'!F2</f>
        <v/>
      </c>
      <c r="M7" s="18" t="str">
        <f>'תגובות לטופס 2- לירן יהודאי'!G2</f>
        <v>9</v>
      </c>
      <c r="N7" s="19" t="str">
        <f>'תגובות לטופס 2- לירן יהודאי'!H2</f>
        <v/>
      </c>
      <c r="O7" s="18" t="str">
        <f>'תגובות לטופס 2- לירן יהודאי'!I2</f>
        <v/>
      </c>
      <c r="P7" s="19" t="str">
        <f>'תגובות לטופס 2- לירן יהודאי'!J2</f>
        <v/>
      </c>
      <c r="Q7" s="18" t="str">
        <f>'תגובות לטופס 2- לירן יהודאי'!K2</f>
        <v/>
      </c>
      <c r="R7" s="20" t="str">
        <f>'תגובות לטופס 2- לירן יהודאי'!L2</f>
        <v>כן, אשמח להכוונה מדוייקת איפה למצוא את התשובה </v>
      </c>
      <c r="S7" s="21" t="str">
        <f>'תגובות לטופס 2- לירן יהודאי'!M2</f>
        <v/>
      </c>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row>
    <row r="8" ht="66.0" customHeight="1">
      <c r="A8" s="53" t="s">
        <v>32</v>
      </c>
      <c r="B8" s="17" t="s">
        <v>25</v>
      </c>
      <c r="C8" s="16" t="s">
        <v>33</v>
      </c>
      <c r="D8" s="71" t="s">
        <v>38</v>
      </c>
      <c r="E8" s="17" t="s">
        <v>35</v>
      </c>
      <c r="F8" s="72" t="s">
        <v>235</v>
      </c>
      <c r="G8" s="13" t="str">
        <f>'תגובות לטופס 2- לירן יהודאי'!$A$2</f>
        <v>8/24/2026 12:20:28</v>
      </c>
      <c r="H8" s="18" t="str">
        <f>'תגובות לטופס 2- לירן יהודאי'!N2</f>
        <v>נכונה</v>
      </c>
      <c r="I8" s="18" t="str">
        <f>'תגובות לטופס 2- לירן יהודאי'!O2</f>
        <v>9</v>
      </c>
      <c r="J8" s="19" t="str">
        <f>'תגובות לטופס 2- לירן יהודאי'!P2</f>
        <v/>
      </c>
      <c r="K8" s="18" t="str">
        <f>'תגובות לטופס 2- לירן יהודאי'!Q2</f>
        <v>9</v>
      </c>
      <c r="L8" s="19" t="str">
        <f>'תגובות לטופס 2- לירן יהודאי'!R2</f>
        <v/>
      </c>
      <c r="M8" s="18" t="str">
        <f>'תגובות לטופס 2- לירן יהודאי'!S2</f>
        <v>10</v>
      </c>
      <c r="N8" s="19" t="str">
        <f>'תגובות לטופס 2- לירן יהודאי'!T2</f>
        <v/>
      </c>
      <c r="O8" s="18" t="str">
        <f>'תגובות לטופס 2- לירן יהודאי'!U2</f>
        <v>7</v>
      </c>
      <c r="P8" s="26" t="str">
        <f>'תגובות לטופס 2- לירן יהודאי'!V2</f>
        <v>המלל מסורבל וקשה להבין מה מהתשובה נלקח מאיזה מקור</v>
      </c>
      <c r="Q8" s="18" t="str">
        <f>'תגובות לטופס 2- לירן יהודאי'!W2</f>
        <v>9</v>
      </c>
      <c r="R8" s="19" t="str">
        <f>'תגובות לטופס 2- לירן יהודאי'!X2</f>
        <v/>
      </c>
      <c r="S8" s="21" t="str">
        <f>'תגובות לטופס 2- לירן יהודאי'!Y2</f>
        <v/>
      </c>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row>
    <row r="9" ht="66.0" customHeight="1">
      <c r="A9" s="53" t="s">
        <v>236</v>
      </c>
      <c r="B9" s="17" t="s">
        <v>25</v>
      </c>
      <c r="C9" s="16" t="s">
        <v>127</v>
      </c>
      <c r="D9" s="71" t="s">
        <v>128</v>
      </c>
      <c r="E9" s="17" t="s">
        <v>132</v>
      </c>
      <c r="F9" s="72" t="s">
        <v>237</v>
      </c>
      <c r="G9" s="13" t="str">
        <f>'תגובות לטופס 2- לירן יהודאי'!$A$2</f>
        <v>8/24/2026 12:20:28</v>
      </c>
      <c r="H9" s="18" t="str">
        <f>'תגובות לטופס 2- לירן יהודאי'!Z2</f>
        <v>נכונה</v>
      </c>
      <c r="I9" s="18" t="str">
        <f>'תגובות לטופס 2- לירן יהודאי'!AA2</f>
        <v>9</v>
      </c>
      <c r="J9" s="19" t="str">
        <f>'תגובות לטופס 2- לירן יהודאי'!AB2</f>
        <v/>
      </c>
      <c r="K9" s="18" t="str">
        <f>'תגובות לטופס 2- לירן יהודאי'!AC2</f>
        <v>9</v>
      </c>
      <c r="L9" s="19" t="str">
        <f>'תגובות לטופס 2- לירן יהודאי'!AD2</f>
        <v/>
      </c>
      <c r="M9" s="18" t="str">
        <f>'תגובות לטופס 2- לירן יהודאי'!AE2</f>
        <v>9</v>
      </c>
      <c r="N9" s="19" t="str">
        <f>'תגובות לטופס 2- לירן יהודאי'!AF2</f>
        <v/>
      </c>
      <c r="O9" s="18" t="str">
        <f>'תגובות לטופס 2- לירן יהודאי'!AG2</f>
        <v>9</v>
      </c>
      <c r="P9" s="19" t="str">
        <f>'תגובות לטופס 2- לירן יהודאי'!AH2</f>
        <v/>
      </c>
      <c r="Q9" s="18" t="str">
        <f>'תגובות לטופס 2- לירן יהודאי'!AI2</f>
        <v>9</v>
      </c>
      <c r="R9" s="19" t="str">
        <f>'תגובות לטופס 2- לירן יהודאי'!AJ2</f>
        <v/>
      </c>
      <c r="S9" s="21" t="str">
        <f>'תגובות לטופס 2- לירן יהודאי'!AK2</f>
        <v/>
      </c>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row>
    <row r="10" ht="66.0" customHeight="1">
      <c r="A10" s="53" t="s">
        <v>39</v>
      </c>
      <c r="B10" s="17" t="s">
        <v>25</v>
      </c>
      <c r="C10" s="16" t="s">
        <v>40</v>
      </c>
      <c r="D10" s="16" t="s">
        <v>45</v>
      </c>
      <c r="E10" s="17" t="s">
        <v>46</v>
      </c>
      <c r="F10" s="67" t="s">
        <v>44</v>
      </c>
      <c r="G10" s="13" t="str">
        <f>'תגובות לטופס 2- לירן יהודאי'!$A$2</f>
        <v>8/24/2026 12:20:28</v>
      </c>
      <c r="H10" s="18" t="str">
        <f>'תגובות לטופס 2- לירן יהודאי'!AL2</f>
        <v>נכונה</v>
      </c>
      <c r="I10" s="18" t="str">
        <f>'תגובות לטופס 2- לירן יהודאי'!AM2</f>
        <v>8</v>
      </c>
      <c r="J10" s="19" t="str">
        <f>'תגובות לטופס 2- לירן יהודאי'!AN2</f>
        <v/>
      </c>
      <c r="K10" s="18" t="str">
        <f>'תגובות לטופס 2- לירן יהודאי'!AO2</f>
        <v>6</v>
      </c>
      <c r="L10" s="27" t="str">
        <f>'תגובות לטופס 2- לירן יהודאי'!AP2</f>
        <v>לא הובא מסמך המקור, צורף רק המסמך עם העידכונים</v>
      </c>
      <c r="M10" s="18" t="str">
        <f>'תגובות לטופס 2- לירן יהודאי'!AQ2</f>
        <v>7</v>
      </c>
      <c r="N10" s="19" t="str">
        <f>'תגובות לטופס 2- לירן יהודאי'!AR2</f>
        <v>חסר מסמך המקור</v>
      </c>
      <c r="O10" s="18" t="str">
        <f>'תגובות לטופס 2- לירן יהודאי'!AS2</f>
        <v>8</v>
      </c>
      <c r="P10" s="19" t="str">
        <f>'תגובות לטופס 2- לירן יהודאי'!AT2</f>
        <v/>
      </c>
      <c r="Q10" s="18" t="str">
        <f>'תגובות לטופס 2- לירן יהודאי'!AU2</f>
        <v>6</v>
      </c>
      <c r="R10" s="19" t="str">
        <f>'תגובות לטופס 2- לירן יהודאי'!AV2</f>
        <v/>
      </c>
      <c r="S10" s="21" t="str">
        <f>'תגובות לטופס 2- לירן יהודאי'!AW2</f>
        <v/>
      </c>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row>
    <row r="11" ht="66.0" customHeight="1">
      <c r="A11" s="53" t="s">
        <v>47</v>
      </c>
      <c r="B11" s="17" t="s">
        <v>25</v>
      </c>
      <c r="C11" s="16" t="s">
        <v>48</v>
      </c>
      <c r="D11" s="16" t="s">
        <v>53</v>
      </c>
      <c r="E11" s="17" t="s">
        <v>50</v>
      </c>
      <c r="F11" s="67" t="s">
        <v>95</v>
      </c>
      <c r="G11" s="13" t="str">
        <f>'תגובות לטופס 2- לירן יהודאי'!$A$2</f>
        <v>8/24/2026 12:20:28</v>
      </c>
      <c r="H11" s="18" t="str">
        <f>'תגובות לטופס 2- לירן יהודאי'!AX2</f>
        <v>נכונה</v>
      </c>
      <c r="I11" s="18" t="str">
        <f>'תגובות לטופס 2- לירן יהודאי'!AY2</f>
        <v>9</v>
      </c>
      <c r="J11" s="19" t="str">
        <f>'תגובות לטופס 2- לירן יהודאי'!AZ2</f>
        <v/>
      </c>
      <c r="K11" s="18" t="str">
        <f>'תגובות לטופס 2- לירן יהודאי'!BA2</f>
        <v>9</v>
      </c>
      <c r="L11" s="28" t="str">
        <f>'תגובות לטופס 2- לירן יהודאי'!BB2</f>
        <v>הייתי רוצה הפניה מדויקת לכך שהפטור הוא ליחיד או לנציגות המס המשותף</v>
      </c>
      <c r="M11" s="18" t="str">
        <f>'תגובות לטופס 2- לירן יהודאי'!BC2</f>
        <v>9</v>
      </c>
      <c r="N11" s="19" t="str">
        <f>'תגובות לטופס 2- לירן יהודאי'!BD2</f>
        <v/>
      </c>
      <c r="O11" s="18" t="str">
        <f>'תגובות לטופס 2- לירן יהודאי'!BE2</f>
        <v>9</v>
      </c>
      <c r="P11" s="19" t="str">
        <f>'תגובות לטופס 2- לירן יהודאי'!BF2</f>
        <v/>
      </c>
      <c r="Q11" s="18" t="str">
        <f>'תגובות לטופס 2- לירן יהודאי'!BG2</f>
        <v>7</v>
      </c>
      <c r="R11" s="19" t="str">
        <f>'תגובות לטופס 2- לירן יהודאי'!BH2</f>
        <v/>
      </c>
      <c r="S11" s="21" t="str">
        <f>'תגובות לטופס 2- לירן יהודאי'!BI2</f>
        <v/>
      </c>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row>
    <row r="12" ht="66.0" customHeight="1">
      <c r="A12" s="53" t="s">
        <v>54</v>
      </c>
      <c r="B12" s="17" t="s">
        <v>91</v>
      </c>
      <c r="C12" s="16" t="s">
        <v>56</v>
      </c>
      <c r="D12" s="16" t="s">
        <v>61</v>
      </c>
      <c r="E12" s="17" t="s">
        <v>62</v>
      </c>
      <c r="F12" s="73" t="s">
        <v>60</v>
      </c>
      <c r="G12" s="13" t="str">
        <f>'תגובות לטופס 3- ניר'!A2</f>
        <v>8/24/2026 18:18:38</v>
      </c>
      <c r="H12" s="18" t="str">
        <f>'תגובות לטופס 3- ניר'!B2</f>
        <v>שגויה</v>
      </c>
      <c r="I12" s="18" t="str">
        <f>'תגובות לטופס 3- ניר'!C2</f>
        <v>1</v>
      </c>
      <c r="J12" s="27" t="str">
        <f>'תגובות לטופס 3- ניר'!D2</f>
        <v>טופס 7503 ודוח 0 מעודכן רשום בהוראת הביצוע משנת 21 בצורה ברורה המודל התפזר</v>
      </c>
      <c r="K12" s="18" t="str">
        <f>'תגובות לטופס 3- ניר'!E2</f>
        <v>1</v>
      </c>
      <c r="L12" s="19" t="str">
        <f>'תגובות לטופס 3- ניר'!F2</f>
        <v>המודל התפזר לא רשום הטופס לא רשום דוח 0 מעודכן אלו הדברים החשובים</v>
      </c>
      <c r="M12" s="18" t="str">
        <f>'תגובות לטופס 3- ניר'!G2</f>
        <v>1</v>
      </c>
      <c r="N12" s="19" t="str">
        <f>'תגובות לטופס 3- ניר'!H2</f>
        <v>המקור היחיד שרלוונטי זה הוראת הביצוע עמוד 10 סעיף 5.3.3.2</v>
      </c>
      <c r="O12" s="18" t="str">
        <f>'תגובות לטופס 3- ניר'!I2</f>
        <v>1</v>
      </c>
      <c r="P12" s="19" t="str">
        <f>'תגובות לטופס 3- ניר'!J2</f>
        <v>המודל התפזר עודף מידע לא רלוונטי צריך להסביר את הרציו בהפחתה שנמכרו מספר דירות, צפוי הפסד עתידי ולכן עליו להמציא טופס... ודוח 0 מעודכן</v>
      </c>
      <c r="Q12" s="18" t="str">
        <f>'תגובות לטופס 3- ניר'!K2</f>
        <v>1</v>
      </c>
      <c r="R12" s="19" t="str">
        <f>'תגובות לטופס 3- ניר'!L2</f>
        <v>להפנות לחוזר האחרון שיצא</v>
      </c>
      <c r="S12" s="19" t="str">
        <f>'תגובות לטופס 3- ניר'!M2</f>
        <v>מפוזר לא ניתן להסתמך דרך אגב תכנסו להוצאת רונן למיסים AI הוא נותן תשובה הרבה יותר טובה</v>
      </c>
    </row>
    <row r="13" ht="66.0" customHeight="1">
      <c r="A13" s="74" t="s">
        <v>63</v>
      </c>
      <c r="B13" s="17" t="s">
        <v>91</v>
      </c>
      <c r="C13" s="16" t="s">
        <v>65</v>
      </c>
      <c r="D13" s="16" t="s">
        <v>70</v>
      </c>
      <c r="E13" s="17" t="s">
        <v>71</v>
      </c>
      <c r="F13" s="75" t="s">
        <v>69</v>
      </c>
      <c r="G13" s="13" t="str">
        <f t="shared" ref="G13:G16" si="1">G12</f>
        <v>8/24/2026 18:18:38</v>
      </c>
      <c r="H13" s="18" t="str">
        <f>'תגובות לטופס 3- ניר'!N2</f>
        <v>שגויה</v>
      </c>
      <c r="I13" s="18" t="str">
        <f>'תגובות לטופס 3- ניר'!O2</f>
        <v>4</v>
      </c>
      <c r="J13" s="19" t="str">
        <f>'תגובות לטופס 3- ניר'!P2</f>
        <v>מקרה בתחום האפור, במקרה הזה יש לקבל הבהרות מרו"ח ולפנות למקצועית האם הנמקה 77</v>
      </c>
      <c r="K13" s="18" t="str">
        <f>'תגובות לטופס 3- ניר'!Q2</f>
        <v>4</v>
      </c>
      <c r="L13" s="19" t="str">
        <f>'תגובות לטופס 3- ניר'!R2</f>
        <v>ראה תשובה 1</v>
      </c>
      <c r="M13" s="18" t="str">
        <f>'תגובות לטופס 3- ניר'!S2</f>
        <v>10</v>
      </c>
      <c r="N13" s="19" t="str">
        <f>'תגובות לטופס 3- ניר'!T2</f>
        <v/>
      </c>
      <c r="O13" s="18" t="str">
        <f>'תגובות לטופס 3- ניר'!U2</f>
        <v>8</v>
      </c>
      <c r="P13" s="19" t="str">
        <f>'תגובות לטופס 3- ניר'!V2</f>
        <v/>
      </c>
      <c r="Q13" s="18" t="str">
        <f>'תגובות לטופס 3- ניר'!W2</f>
        <v>4</v>
      </c>
      <c r="R13" s="19" t="str">
        <f>'תגובות לטופס 3- ניר'!X2</f>
        <v>מקרה אפור המודל לא ענה בצורה מלאה יותר מדי החלטי</v>
      </c>
      <c r="S13" s="21" t="str">
        <f>'תגובות לטופס 3- ניר'!Y2</f>
        <v/>
      </c>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row>
    <row r="14" ht="110.25" customHeight="1">
      <c r="A14" s="53" t="s">
        <v>72</v>
      </c>
      <c r="B14" s="17" t="s">
        <v>91</v>
      </c>
      <c r="C14" s="16" t="s">
        <v>74</v>
      </c>
      <c r="D14" s="16" t="s">
        <v>79</v>
      </c>
      <c r="E14" s="17" t="s">
        <v>80</v>
      </c>
      <c r="F14" s="76" t="s">
        <v>78</v>
      </c>
      <c r="G14" s="13" t="str">
        <f t="shared" si="1"/>
        <v>8/24/2026 18:18:38</v>
      </c>
      <c r="H14" s="18" t="str">
        <f>'תגובות לטופס 3- ניר'!Z2</f>
        <v>שגויה</v>
      </c>
      <c r="I14" s="18" t="str">
        <f>'תגובות לטופס 3- ניר'!AA2</f>
        <v>1</v>
      </c>
      <c r="J14" s="19" t="str">
        <f>'תגובות לטופס 3- ניר'!AB2</f>
        <v>התפלק לו, הוא לא בכיוון. לדעתי הוא הבין שיש צורך שבפקודה יהיה אופציה לייחוס הוצאות המימון ולכן הלך לסעיף 18. הוא פספס לחלוטין מדובר בנכס לא מניב ולכן היה אמור לכוון מלכתכילה לסעיף 17 כי לא מדובר בוהצאה בייצור הכנסה שיש להוונה לעלות הנכס. שיטת הייחוס לא מפורטת בפקודה אלא יציר של פסקי דין והוראות ביצוע. </v>
      </c>
      <c r="K14" s="18" t="str">
        <f>'תגובות לטופס 3- ניר'!AC2</f>
        <v>1</v>
      </c>
      <c r="L14" s="19" t="str">
        <f>'תגובות לטופס 3- ניר'!AD2</f>
        <v>אולי היא שלמה אבל לא לשאלה הזו, האמת שאני לא בטוח שהיא שלמה לאף שאלה.</v>
      </c>
      <c r="M14" s="18" t="str">
        <f>'תגובות לטופס 3- ניר'!AE2</f>
        <v>1</v>
      </c>
      <c r="N14" s="19" t="str">
        <f>'תגובות לטופס 3- ניר'!AF2</f>
        <v>עצרתי באמצע פשוט לא שם</v>
      </c>
      <c r="O14" s="18" t="str">
        <f>'תגובות לטופס 3- ניר'!AG2</f>
        <v>1</v>
      </c>
      <c r="P14" s="19" t="str">
        <f>'תגובות לטופס 3- ניר'!AH2</f>
        <v>לא שם</v>
      </c>
      <c r="Q14" s="18" t="str">
        <f>'תגובות לטופס 3- ניר'!AI2</f>
        <v>1</v>
      </c>
      <c r="R14" s="19" t="str">
        <f>'תגובות לטופס 3- ניר'!AJ2</f>
        <v>לא!</v>
      </c>
      <c r="S14" s="19" t="str">
        <f>'תגובות לטופס 3- ניר'!AK2</f>
        <v>גם פה ניסיתי את AI הוצאת רונן מנתח את המקרה בצורה הרבה יותר טובה תבדקו</v>
      </c>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row>
    <row r="15" ht="123.0" customHeight="1">
      <c r="A15" s="53" t="s">
        <v>81</v>
      </c>
      <c r="B15" s="17" t="s">
        <v>91</v>
      </c>
      <c r="C15" s="16" t="s">
        <v>83</v>
      </c>
      <c r="D15" s="16" t="s">
        <v>88</v>
      </c>
      <c r="E15" s="17" t="s">
        <v>89</v>
      </c>
      <c r="F15" s="77" t="s">
        <v>87</v>
      </c>
      <c r="G15" s="13" t="str">
        <f t="shared" si="1"/>
        <v>8/24/2026 18:18:38</v>
      </c>
      <c r="H15" s="18" t="str">
        <f>'תגובות לטופס 3- ניר'!AL2</f>
        <v>נכונה</v>
      </c>
      <c r="I15" s="18" t="str">
        <f>'תגובות לטופס 3- ניר'!AM2</f>
        <v>5</v>
      </c>
      <c r="J15" s="19" t="str">
        <f>'תגובות לטופס 3- ניר'!AN2</f>
        <v>לדעתי השאלה לא נשאלה בצורה נכונה ולא מדויקת. פעילות יצורית  המבחן זה יצירת מוצר חדש - הופכת חומר גלם למוצר, משנה את אופיו ומהותו, חיבור רכיבים ויצירת מוצר חדש, מבחן השינוי , מבחן של תהליכי ייצור, השבחת המוצר. </v>
      </c>
      <c r="K15" s="18" t="str">
        <f>'תגובות לטופס 3- ניר'!AO2</f>
        <v>6</v>
      </c>
      <c r="L15" s="19" t="str">
        <f>'תגובות לטופס 3- ניר'!AP2</f>
        <v>לדעתי חסרים פסקי דין רלוונטיים לקביעה האם יצורי או לאו בסעיף 4 לתשובה היא עונה האם מדובר במפעל תעשייתי מה שהוא לא נשאל הוא נשאל האם מדובר בפעילות ייצורית זה אכן אחד התנאים להכנס לחוק אך לא נשאל אל כך.</v>
      </c>
      <c r="M15" s="18" t="str">
        <f>'תגובות לטופס 3- ניר'!AQ2</f>
        <v>3</v>
      </c>
      <c r="N15" s="19" t="str">
        <f>'תגובות לטופס 3- ניר'!AR2</f>
        <v>יש חזורים נוספים  המדברים יש החלטות מיסוי בנושא.</v>
      </c>
      <c r="O15" s="18" t="str">
        <f>'תגובות לטופס 3- ניר'!AS2</f>
        <v>6</v>
      </c>
      <c r="P15" s="19" t="str">
        <f>'תגובות לטופס 3- ניר'!AT2</f>
        <v>רלוונטית אך חלקית</v>
      </c>
      <c r="Q15" s="18" t="str">
        <f>'תגובות לטופס 3- ניר'!AU2</f>
        <v>5</v>
      </c>
      <c r="R15" s="19" t="str">
        <f>'תגובות לטופס 3- ניר'!AV2</f>
        <v>היא נותנת כיוון אך היא לא מלאה</v>
      </c>
      <c r="S15" s="21" t="str">
        <f>'תגובות לטופס 3- ניר'!AW2</f>
        <v/>
      </c>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row>
    <row r="16" ht="66.0" customHeight="1">
      <c r="A16" s="53" t="s">
        <v>90</v>
      </c>
      <c r="B16" s="17" t="s">
        <v>91</v>
      </c>
      <c r="C16" s="16" t="s">
        <v>92</v>
      </c>
      <c r="D16" s="16" t="s">
        <v>93</v>
      </c>
      <c r="E16" s="17" t="s">
        <v>94</v>
      </c>
      <c r="F16" s="67" t="s">
        <v>95</v>
      </c>
      <c r="G16" s="13" t="str">
        <f t="shared" si="1"/>
        <v>8/24/2026 18:18:38</v>
      </c>
      <c r="H16" s="18" t="str">
        <f>'תגובות לטופס 3- ניר'!AX2</f>
        <v>נכונה</v>
      </c>
      <c r="I16" s="18" t="str">
        <f>'תגובות לטופס 3- ניר'!AY2</f>
        <v>9</v>
      </c>
      <c r="J16" s="19" t="str">
        <f>'תגובות לטופס 3- ניר'!AZ2</f>
        <v/>
      </c>
      <c r="K16" s="18" t="str">
        <f>'תגובות לטופס 3- ניר'!BA2</f>
        <v>10</v>
      </c>
      <c r="L16" s="19" t="str">
        <f>'תגובות לטופס 3- ניר'!BB2</f>
        <v/>
      </c>
      <c r="M16" s="18" t="str">
        <f>'תגובות לטופס 3- ניר'!BC2</f>
        <v>10</v>
      </c>
      <c r="N16" s="19" t="str">
        <f>'תגובות לטופס 3- ניר'!BD2</f>
        <v/>
      </c>
      <c r="O16" s="18" t="str">
        <f>'תגובות לטופס 3- ניר'!BE2</f>
        <v>10</v>
      </c>
      <c r="P16" s="19" t="str">
        <f>'תגובות לטופס 3- ניר'!BF2</f>
        <v/>
      </c>
      <c r="Q16" s="18" t="str">
        <f>'תגובות לטופס 3- ניר'!BG2</f>
        <v>10</v>
      </c>
      <c r="R16" s="19" t="str">
        <f>'תגובות לטופס 3- ניר'!BH2</f>
        <v/>
      </c>
      <c r="S16" s="21" t="str">
        <f>'תגובות לטופס 3- ניר'!BI2</f>
        <v/>
      </c>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row>
    <row r="17" ht="66.0" customHeight="1">
      <c r="A17" s="53" t="s">
        <v>96</v>
      </c>
      <c r="B17" s="17" t="s">
        <v>97</v>
      </c>
      <c r="C17" s="16" t="s">
        <v>98</v>
      </c>
      <c r="D17" s="16" t="s">
        <v>103</v>
      </c>
      <c r="E17" s="17" t="s">
        <v>100</v>
      </c>
      <c r="F17" s="56"/>
      <c r="G17" s="13" t="str">
        <f>'תגובות לטופס 4- צליל עמנואל סבר'!A3</f>
        <v>8/26/2026 12:26:15</v>
      </c>
      <c r="H17" s="18" t="str">
        <f>'תגובות לטופס 4- צליל עמנואל סבר'!B3</f>
        <v>נכונה</v>
      </c>
      <c r="I17" s="18" t="str">
        <f>'תגובות לטופס 4- צליל עמנואל סבר'!C3</f>
        <v>8</v>
      </c>
      <c r="J17" s="19" t="str">
        <f>'תגובות לטופס 4- צליל עמנואל סבר'!D3</f>
        <v>יש לבצע הבחנה בין בניה שהסתיימה לבניה בהתהוות) בנוגע לפסקה 2) .
במגרש לוקחים 23% על הרווח, אך ביחידת מגורים יש להבחין האם הבניה הסתיימה בשנה השוטפת ואז ידווח 23% מהרווח לבין מצב בו ההכנסה ממכירת הדירה דווחה והמס שולם ואז אין ערובה לבין מצב בו הבנייה טרם הסתיימה ואז הערובה היא 3%.</v>
      </c>
      <c r="K17" s="18" t="str">
        <f>'תגובות לטופס 4- צליל עמנואל סבר'!E3</f>
        <v>9</v>
      </c>
      <c r="L17" s="19" t="str">
        <f>'תגובות לטופס 4- צליל עמנואל סבר'!F3</f>
        <v>ההבחנה בין בנייה שהסתיימה לבין בניה בהתהוות </v>
      </c>
      <c r="M17" s="18" t="str">
        <f>'תגובות לטופס 4- צליל עמנואל סבר'!G3</f>
        <v>10</v>
      </c>
      <c r="N17" s="19" t="str">
        <f>'תגובות לטופס 4- צליל עמנואל סבר'!H3</f>
        <v>רלוונטית מאוד</v>
      </c>
      <c r="O17" s="18" t="str">
        <f>'תגובות לטופס 4- צליל עמנואל סבר'!I3</f>
        <v>10</v>
      </c>
      <c r="P17" s="19" t="str">
        <f>'תגובות לטופס 4- צליל עמנואל סבר'!J3</f>
        <v/>
      </c>
      <c r="Q17" s="18" t="str">
        <f>'תגובות לטופס 4- צליל עמנואל סבר'!K3</f>
        <v>9</v>
      </c>
      <c r="R17" s="19" t="str">
        <f>'תגובות לטופס 4- צליל עמנואל סבר'!L3</f>
        <v/>
      </c>
      <c r="S17" s="21" t="str">
        <f>'תגובות לטופס 4- צליל עמנואל סבר'!M3</f>
        <v>נרשם לעיל</v>
      </c>
    </row>
    <row r="18" ht="66.0" customHeight="1">
      <c r="A18" s="53" t="s">
        <v>238</v>
      </c>
      <c r="B18" s="17" t="s">
        <v>97</v>
      </c>
      <c r="C18" s="16" t="s">
        <v>159</v>
      </c>
      <c r="D18" s="16" t="s">
        <v>166</v>
      </c>
      <c r="E18" s="17" t="s">
        <v>167</v>
      </c>
      <c r="F18" s="56"/>
      <c r="G18" s="13"/>
      <c r="H18" s="18" t="str">
        <f>'תגובות לטופס 4- צליל עמנואל סבר'!N3</f>
        <v>נכונה</v>
      </c>
      <c r="I18" s="18" t="str">
        <f>'תגובות לטופס 4- צליל עמנואל סבר'!O3</f>
        <v>10</v>
      </c>
      <c r="J18" s="19" t="str">
        <f>'תגובות לטופס 4- צליל עמנואל סבר'!P3</f>
        <v/>
      </c>
      <c r="K18" s="18" t="str">
        <f>'תגובות לטופס 4- צליל עמנואל סבר'!Q3</f>
        <v>9</v>
      </c>
      <c r="L18" s="19" t="str">
        <f>'תגובות לטופס 4- צליל עמנואל סבר'!R3</f>
        <v>הייתי מוסיפה פסיקה רלוונטית: פסק דין מיקוד, קבוצתיות השומרים, ועקרונות מנחים</v>
      </c>
      <c r="M18" s="18" t="str">
        <f>'תגובות לטופס 4- צליל עמנואל סבר'!S3</f>
        <v>9</v>
      </c>
      <c r="N18" s="19" t="str">
        <f>'תגובות לטופס 4- צליל עמנואל סבר'!T3</f>
        <v>הוספתי הפסיקה שלעיל</v>
      </c>
      <c r="O18" s="18" t="str">
        <f>'תגובות לטופס 4- צליל עמנואל סבר'!U3</f>
        <v>10</v>
      </c>
      <c r="P18" s="19" t="str">
        <f>'תגובות לטופס 4- צליל עמנואל סבר'!V3</f>
        <v/>
      </c>
      <c r="Q18" s="18" t="str">
        <f>'תגובות לטופס 4- צליל עמנואל סבר'!W3</f>
        <v>9</v>
      </c>
      <c r="R18" s="19" t="str">
        <f>'תגובות לטופס 4- צליל עמנואל סבר'!X3</f>
        <v/>
      </c>
      <c r="S18" s="21" t="str">
        <f>'תגובות לטופס 4- צליל עמנואל סבר'!Y3</f>
        <v/>
      </c>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row>
    <row r="19" ht="66.0" customHeight="1">
      <c r="A19" s="53" t="s">
        <v>104</v>
      </c>
      <c r="B19" s="17" t="s">
        <v>97</v>
      </c>
      <c r="C19" s="16" t="s">
        <v>105</v>
      </c>
      <c r="D19" s="16" t="s">
        <v>110</v>
      </c>
      <c r="E19" s="17" t="s">
        <v>107</v>
      </c>
      <c r="F19" s="56"/>
      <c r="G19" s="13"/>
      <c r="H19" s="18" t="str">
        <f>'תגובות לטופס 4- צליל עמנואל סבר'!Z3</f>
        <v>נכונה</v>
      </c>
      <c r="I19" s="18" t="str">
        <f>'תגובות לטופס 4- צליל עמנואל סבר'!AA3</f>
        <v>9</v>
      </c>
      <c r="J19" s="19" t="str">
        <f>'תגובות לטופס 4- צליל עמנואל סבר'!AB3</f>
        <v>במנגנון הולדבק יש להתייחס אל חוזר 7/2015 עם פיצול התמורה למרכיב הוני ופירותי . </v>
      </c>
      <c r="K19" s="18" t="str">
        <f>'תגובות לטופס 4- צליל עמנואל סבר'!AC3</f>
        <v>8</v>
      </c>
      <c r="L19" s="19" t="str">
        <f>'תגובות לטופס 4- צליל עמנואל סבר'!AD3</f>
        <v/>
      </c>
      <c r="M19" s="18" t="str">
        <f>'תגובות לטופס 4- צליל עמנואל סבר'!AE3</f>
        <v>8</v>
      </c>
      <c r="N19" s="19" t="str">
        <f>'תגובות לטופס 4- צליל עמנואל סבר'!AF3</f>
        <v>צירוף החוזר 5.2017 אולי פסיקה כמו חיים להמן</v>
      </c>
      <c r="O19" s="18" t="str">
        <f>'תגובות לטופס 4- צליל עמנואל סבר'!AG3</f>
        <v>8</v>
      </c>
      <c r="P19" s="19" t="str">
        <f>'תגובות לטופס 4- צליל עמנואל סבר'!AH3</f>
        <v>פיצול מרכיב התמורה בעסקת הולדבק </v>
      </c>
      <c r="Q19" s="18" t="str">
        <f>'תגובות לטופס 4- צליל עמנואל סבר'!AI3</f>
        <v>7</v>
      </c>
      <c r="R19" s="19" t="str">
        <f>'תגובות לטופס 4- צליל עמנואל סבר'!AJ3</f>
        <v/>
      </c>
      <c r="S19" s="21" t="str">
        <f>'תגובות לטופס 4- צליל עמנואל סבר'!AK3</f>
        <v/>
      </c>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row>
    <row r="20" ht="66.0" customHeight="1">
      <c r="A20" s="53" t="s">
        <v>111</v>
      </c>
      <c r="B20" s="17" t="s">
        <v>97</v>
      </c>
      <c r="C20" s="16" t="s">
        <v>112</v>
      </c>
      <c r="D20" s="16" t="s">
        <v>117</v>
      </c>
      <c r="E20" s="17" t="s">
        <v>114</v>
      </c>
      <c r="F20" s="56"/>
      <c r="G20" s="13"/>
      <c r="H20" s="18" t="str">
        <f>'תגובות לטופס 4- צליל עמנואל סבר'!AL3</f>
        <v>נכונה</v>
      </c>
      <c r="I20" s="18" t="str">
        <f>'תגובות לטופס 4- צליל עמנואל סבר'!AM3</f>
        <v>9</v>
      </c>
      <c r="J20" s="19" t="str">
        <f>'תגובות לטופס 4- צליל עמנואל סבר'!AN3</f>
        <v/>
      </c>
      <c r="K20" s="18" t="str">
        <f>'תגובות לטופס 4- צליל עמנואל סבר'!AO3</f>
        <v>10</v>
      </c>
      <c r="L20" s="19" t="str">
        <f>'תגובות לטופס 4- צליל עמנואל סבר'!AP3</f>
        <v/>
      </c>
      <c r="M20" s="18" t="str">
        <f>'תגובות לטופס 4- צליל עמנואל סבר'!AQ3</f>
        <v>9</v>
      </c>
      <c r="N20" s="19" t="str">
        <f>'תגובות לטופס 4- צליל עמנואל סבר'!AR3</f>
        <v>צירוף פסקי דין רג'ואן   אברהם פלוס</v>
      </c>
      <c r="O20" s="18" t="str">
        <f>'תגובות לטופס 4- צליל עמנואל סבר'!AS3</f>
        <v>9</v>
      </c>
      <c r="P20" s="19" t="str">
        <f>'תגובות לטופס 4- צליל עמנואל סבר'!AT3</f>
        <v>אולי יש להוסיף חידוד בין תיקון מהותי לטכניון, כמו כן לעניין ההתיישנות</v>
      </c>
      <c r="Q20" s="18" t="str">
        <f>'תגובות לטופס 4- צליל עמנואל סבר'!AU3</f>
        <v>10</v>
      </c>
      <c r="R20" s="19" t="str">
        <f>'תגובות לטופס 4- צליל עמנואל סבר'!AV3</f>
        <v/>
      </c>
      <c r="S20" s="21" t="str">
        <f>'תגובות לטופס 4- צליל עמנואל סבר'!AW3</f>
        <v>בתיקון טכני אין שינוי במועד ההגשה בעוד שבתיקון מהותי מועד התיקון הוא מועד הגשת הדוח</v>
      </c>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row>
    <row r="21" ht="66.0" customHeight="1">
      <c r="A21" s="53" t="s">
        <v>118</v>
      </c>
      <c r="B21" s="17" t="s">
        <v>97</v>
      </c>
      <c r="C21" s="16" t="s">
        <v>119</v>
      </c>
      <c r="D21" s="16" t="s">
        <v>124</v>
      </c>
      <c r="E21" s="17" t="s">
        <v>121</v>
      </c>
      <c r="F21" s="56"/>
      <c r="G21" s="13"/>
      <c r="H21" s="18" t="str">
        <f>'תגובות לטופס 4- צליל עמנואל סבר'!AX3</f>
        <v>נכונה</v>
      </c>
      <c r="I21" s="18" t="str">
        <f>'תגובות לטופס 4- צליל עמנואל סבר'!AY3</f>
        <v>9</v>
      </c>
      <c r="J21" s="19" t="str">
        <f>'תגובות לטופס 4- צליל עמנואל סבר'!AZ3</f>
        <v>יש לפרט כי הנתונים לא מספקים. האם הנישום עמד בכל הקריטריונים לקבלת המסלול המופחת? האם יש בידו רישיון ספק שירות? האם לא מדובר בהכנסה מעסק? האם מסר הודעה על כך לפקיד השומה?</v>
      </c>
      <c r="K21" s="18" t="str">
        <f>'תגובות לטופס 4- צליל עמנואל סבר'!BA3</f>
        <v>9</v>
      </c>
      <c r="L21" s="19" t="str">
        <f>'תגובות לטופס 4- צליל עמנואל סבר'!BB3</f>
        <v>אריתמטית התשובה נכונה.  הייתי מוסיפה שאין לו זכאות למסלול הפטור , כיוון שמדובר בפטור מתקפל והוא נוגס בכולו</v>
      </c>
      <c r="M21" s="18" t="str">
        <f>'תגובות לטופס 4- צליל עמנואל סבר'!BC3</f>
        <v>10</v>
      </c>
      <c r="N21" s="19" t="str">
        <f>'תגובות לטופס 4- צליל עמנואל סבר'!BD3</f>
        <v/>
      </c>
      <c r="O21" s="18" t="str">
        <f>'תגובות לטופס 4- צליל עמנואל סבר'!BE3</f>
        <v>10</v>
      </c>
      <c r="P21" s="19" t="str">
        <f>'תגובות לטופס 4- צליל עמנואל סבר'!BF3</f>
        <v/>
      </c>
      <c r="Q21" s="18" t="str">
        <f>'תגובות לטופס 4- צליל עמנואל סבר'!BG3</f>
        <v>10</v>
      </c>
      <c r="R21" s="19" t="str">
        <f>'תגובות לטופס 4- צליל עמנואל סבר'!BH3</f>
        <v/>
      </c>
      <c r="S21" s="21" t="str">
        <f>'תגובות לטופס 4- צליל עמנואל סבר'!BI3</f>
        <v/>
      </c>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row>
    <row r="22" ht="66.0" customHeight="1">
      <c r="A22" s="53" t="s">
        <v>239</v>
      </c>
      <c r="B22" s="17" t="s">
        <v>198</v>
      </c>
      <c r="C22" s="16" t="s">
        <v>105</v>
      </c>
      <c r="D22" s="16" t="s">
        <v>110</v>
      </c>
      <c r="E22" s="17" t="s">
        <v>107</v>
      </c>
      <c r="F22" s="56"/>
      <c r="S22" s="56"/>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row>
    <row r="23" ht="66.0" customHeight="1">
      <c r="A23" s="53" t="s">
        <v>197</v>
      </c>
      <c r="B23" s="17" t="s">
        <v>198</v>
      </c>
      <c r="C23" s="16" t="s">
        <v>199</v>
      </c>
      <c r="D23" s="16" t="s">
        <v>240</v>
      </c>
      <c r="E23" s="17" t="s">
        <v>107</v>
      </c>
      <c r="F23" s="56"/>
      <c r="S23" s="56"/>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row>
    <row r="24" ht="66.0" customHeight="1">
      <c r="A24" s="53" t="s">
        <v>241</v>
      </c>
      <c r="B24" s="17" t="s">
        <v>198</v>
      </c>
      <c r="C24" s="16" t="s">
        <v>149</v>
      </c>
      <c r="D24" s="16" t="s">
        <v>242</v>
      </c>
      <c r="E24" s="17" t="s">
        <v>151</v>
      </c>
      <c r="F24" s="56"/>
      <c r="S24" s="56"/>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row>
    <row r="25" ht="66.0" customHeight="1">
      <c r="A25" s="78" t="s">
        <v>243</v>
      </c>
      <c r="B25" s="17" t="s">
        <v>198</v>
      </c>
      <c r="C25" s="16" t="s">
        <v>208</v>
      </c>
      <c r="D25" s="16" t="s">
        <v>244</v>
      </c>
      <c r="E25" s="17" t="s">
        <v>245</v>
      </c>
      <c r="F25" s="56"/>
      <c r="S25" s="56"/>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row>
    <row r="26" ht="66.0" customHeight="1">
      <c r="A26" s="53" t="s">
        <v>246</v>
      </c>
      <c r="B26" s="17" t="s">
        <v>198</v>
      </c>
      <c r="C26" s="16" t="s">
        <v>48</v>
      </c>
      <c r="D26" s="16" t="s">
        <v>53</v>
      </c>
      <c r="E26" s="17" t="s">
        <v>50</v>
      </c>
      <c r="F26" s="56"/>
      <c r="S26" s="56"/>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row>
    <row r="27" ht="66.0" customHeight="1">
      <c r="A27" s="53" t="s">
        <v>247</v>
      </c>
      <c r="B27" s="17" t="s">
        <v>126</v>
      </c>
      <c r="C27" s="16" t="s">
        <v>169</v>
      </c>
      <c r="D27" s="16" t="s">
        <v>176</v>
      </c>
      <c r="E27" s="17" t="s">
        <v>171</v>
      </c>
      <c r="F27" s="72" t="s">
        <v>248</v>
      </c>
      <c r="G27" s="13" t="str">
        <f>'תגובות לטופס 6 תום'!A2</f>
        <v>8/19/2026 7:36:45</v>
      </c>
      <c r="H27" s="18" t="str">
        <f>'תגובות לטופס 6 תום'!B2</f>
        <v>נכונה</v>
      </c>
      <c r="I27" s="18" t="str">
        <f>'תגובות לטופס 6 תום'!C2</f>
        <v>9</v>
      </c>
      <c r="J27" s="19" t="str">
        <f>'תגובות לטופס 6 תום'!D2</f>
        <v/>
      </c>
      <c r="K27" s="18" t="str">
        <f>'תגובות לטופס 6 תום'!E2</f>
        <v>9</v>
      </c>
      <c r="L27" s="19" t="str">
        <f>'תגובות לטופס 6 תום'!F2</f>
        <v/>
      </c>
      <c r="M27" s="18" t="str">
        <f>'תגובות לטופס 6 תום'!G2</f>
        <v>10</v>
      </c>
      <c r="N27" s="19" t="str">
        <f>'תגובות לטופס 6 תום'!H2</f>
        <v/>
      </c>
      <c r="O27" s="18" t="str">
        <f>'תגובות לטופס 6 תום'!I2</f>
        <v>10</v>
      </c>
      <c r="P27" s="19" t="str">
        <f>'תגובות לטופס 6 תום'!J2</f>
        <v/>
      </c>
      <c r="Q27" s="18" t="str">
        <f>'תגובות לטופס 6 תום'!K2</f>
        <v>10</v>
      </c>
      <c r="R27" s="19" t="str">
        <f>'תגובות לטופס 6 תום'!L2</f>
        <v>כן</v>
      </c>
      <c r="S27" s="21" t="str">
        <f>'תגובות לטופס 6 תום'!M2</f>
        <v/>
      </c>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row>
    <row r="28" ht="66.0" customHeight="1">
      <c r="A28" s="53" t="s">
        <v>125</v>
      </c>
      <c r="B28" s="17" t="s">
        <v>126</v>
      </c>
      <c r="C28" s="16" t="s">
        <v>127</v>
      </c>
      <c r="D28" s="16" t="s">
        <v>128</v>
      </c>
      <c r="E28" s="17" t="s">
        <v>132</v>
      </c>
      <c r="F28" s="72" t="s">
        <v>237</v>
      </c>
      <c r="G28" s="13" t="str">
        <f t="shared" ref="G28:G31" si="2">G27</f>
        <v>8/19/2026 7:36:45</v>
      </c>
      <c r="H28" s="18" t="str">
        <f>'תגובות לטופס 6 תום'!N2</f>
        <v>נכונה</v>
      </c>
      <c r="I28" s="18" t="str">
        <f>'תגובות לטופס 6 תום'!O2</f>
        <v>10</v>
      </c>
      <c r="J28" s="19" t="str">
        <f>'תגובות לטופס 6 תום'!P2</f>
        <v/>
      </c>
      <c r="K28" s="18" t="str">
        <f>'תגובות לטופס 6 תום'!Q2</f>
        <v>10</v>
      </c>
      <c r="L28" s="19" t="str">
        <f>'תגובות לטופס 6 תום'!R2</f>
        <v/>
      </c>
      <c r="M28" s="18" t="str">
        <f>'תגובות לטופס 6 תום'!S2</f>
        <v>6</v>
      </c>
      <c r="N28" s="41" t="str">
        <f>'תגובות לטופס 6 תום'!T2</f>
        <v>המודל ציין בתשובה את הוראת הביצוע אך לא ציין אותה במסמכים.</v>
      </c>
      <c r="O28" s="18" t="str">
        <f>'תגובות לטופס 6 תום'!U2</f>
        <v>10</v>
      </c>
      <c r="P28" s="19" t="str">
        <f>'תגובות לטופס 6 תום'!V2</f>
        <v/>
      </c>
      <c r="Q28" s="18" t="str">
        <f>'תגובות לטופס 6 תום'!W2</f>
        <v>10</v>
      </c>
      <c r="R28" s="19" t="str">
        <f>'תגובות לטופס 6 תום'!X2</f>
        <v/>
      </c>
      <c r="S28" s="21" t="str">
        <f>'תגובות לטופס 6 תום'!Y2</f>
        <v/>
      </c>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row>
    <row r="29" ht="94.5" customHeight="1">
      <c r="A29" s="53" t="s">
        <v>133</v>
      </c>
      <c r="B29" s="17" t="s">
        <v>126</v>
      </c>
      <c r="C29" s="16" t="s">
        <v>135</v>
      </c>
      <c r="D29" s="16" t="s">
        <v>141</v>
      </c>
      <c r="E29" s="17" t="s">
        <v>142</v>
      </c>
      <c r="F29" s="70" t="s">
        <v>249</v>
      </c>
      <c r="G29" s="13" t="str">
        <f t="shared" si="2"/>
        <v>8/19/2026 7:36:45</v>
      </c>
      <c r="H29" s="18" t="str">
        <f>'תגובות לטופס 6 תום'!Z2</f>
        <v>שגויה</v>
      </c>
      <c r="I29" s="18" t="str">
        <f>'תגובות לטופס 6 תום'!AA2</f>
        <v>4</v>
      </c>
      <c r="J29" s="28" t="str">
        <f>'תגובות לטופס 6 תום'!AB2</f>
        <v>לדעתי התשובה אינה מדויקת - במקרה של הימנעות, אני חושב שאין לקלוט את הדוח.</v>
      </c>
      <c r="K29" s="18" t="str">
        <f>'תגובות לטופס 6 תום'!AC2</f>
        <v>4</v>
      </c>
      <c r="L29" s="19" t="str">
        <f>'תגובות לטופס 6 תום'!AD2</f>
        <v/>
      </c>
      <c r="M29" s="18" t="str">
        <f>'תגובות לטופס 6 תום'!AE2</f>
        <v>10</v>
      </c>
      <c r="N29" s="19" t="str">
        <f>'תגובות לטופס 6 תום'!AF2</f>
        <v/>
      </c>
      <c r="O29" s="18" t="str">
        <f>'תגובות לטופס 6 תום'!AG2</f>
        <v>4</v>
      </c>
      <c r="P29" s="19" t="str">
        <f>'תגובות לטופס 6 תום'!AH2</f>
        <v/>
      </c>
      <c r="Q29" s="18" t="str">
        <f>'תגובות לטופס 6 תום'!AI2</f>
        <v>4</v>
      </c>
      <c r="R29" s="19" t="str">
        <f>'תגובות לטופס 6 תום'!AJ2</f>
        <v/>
      </c>
      <c r="S29" s="21" t="str">
        <f>'תגובות לטופס 6 תום'!AK2</f>
        <v/>
      </c>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row>
    <row r="30" ht="66.0" customHeight="1">
      <c r="A30" s="53" t="s">
        <v>143</v>
      </c>
      <c r="B30" s="17" t="s">
        <v>126</v>
      </c>
      <c r="C30" s="16" t="s">
        <v>144</v>
      </c>
      <c r="D30" s="16" t="s">
        <v>145</v>
      </c>
      <c r="E30" s="17" t="s">
        <v>146</v>
      </c>
      <c r="F30" s="70" t="s">
        <v>147</v>
      </c>
      <c r="G30" s="13" t="str">
        <f t="shared" si="2"/>
        <v>8/19/2026 7:36:45</v>
      </c>
      <c r="H30" s="18" t="str">
        <f>'תגובות לטופס 6 תום'!AL2</f>
        <v>נכונה</v>
      </c>
      <c r="I30" s="18" t="str">
        <f>'תגובות לטופס 6 תום'!AM2</f>
        <v>10</v>
      </c>
      <c r="J30" s="19" t="str">
        <f>'תגובות לטופס 6 תום'!AN2</f>
        <v/>
      </c>
      <c r="K30" s="18" t="str">
        <f>'תגובות לטופס 6 תום'!AO2</f>
        <v>10</v>
      </c>
      <c r="L30" s="19" t="str">
        <f>'תגובות לטופס 6 תום'!AP2</f>
        <v/>
      </c>
      <c r="M30" s="18" t="str">
        <f>'תגובות לטופס 6 תום'!AQ2</f>
        <v>10</v>
      </c>
      <c r="N30" s="19" t="str">
        <f>'תגובות לטופס 6 תום'!AR2</f>
        <v/>
      </c>
      <c r="O30" s="18" t="str">
        <f>'תגובות לטופס 6 תום'!AS2</f>
        <v>10</v>
      </c>
      <c r="P30" s="19" t="str">
        <f>'תגובות לטופס 6 תום'!AT2</f>
        <v/>
      </c>
      <c r="Q30" s="18" t="str">
        <f>'תגובות לטופס 6 תום'!AU2</f>
        <v>10</v>
      </c>
      <c r="R30" s="19" t="str">
        <f>'תגובות לטופס 6 תום'!AV2</f>
        <v/>
      </c>
      <c r="S30" s="21" t="str">
        <f>'תגובות לטופס 6 תום'!AW2</f>
        <v/>
      </c>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row>
    <row r="31" ht="66.0" customHeight="1">
      <c r="A31" s="53" t="s">
        <v>148</v>
      </c>
      <c r="B31" s="17" t="s">
        <v>126</v>
      </c>
      <c r="C31" s="16" t="s">
        <v>149</v>
      </c>
      <c r="D31" s="16" t="s">
        <v>150</v>
      </c>
      <c r="E31" s="17" t="s">
        <v>151</v>
      </c>
      <c r="F31" s="70" t="s">
        <v>147</v>
      </c>
      <c r="G31" s="13" t="str">
        <f t="shared" si="2"/>
        <v>8/19/2026 7:36:45</v>
      </c>
      <c r="H31" s="18" t="str">
        <f>'תגובות לטופס 6 תום'!AX2</f>
        <v>נכונה</v>
      </c>
      <c r="I31" s="18" t="str">
        <f>'תגובות לטופס 6 תום'!AY2</f>
        <v>10</v>
      </c>
      <c r="J31" s="19" t="str">
        <f>'תגובות לטופס 6 תום'!AZ2</f>
        <v/>
      </c>
      <c r="K31" s="18" t="str">
        <f>'תגובות לטופס 6 תום'!BA2</f>
        <v>10</v>
      </c>
      <c r="L31" s="19" t="str">
        <f>'תגובות לטופס 6 תום'!BB2</f>
        <v/>
      </c>
      <c r="M31" s="18" t="str">
        <f>'תגובות לטופס 6 תום'!BC2</f>
        <v>10</v>
      </c>
      <c r="N31" s="19" t="str">
        <f>'תגובות לטופס 6 תום'!BD2</f>
        <v/>
      </c>
      <c r="O31" s="18" t="str">
        <f>'תגובות לטופס 6 תום'!BE2</f>
        <v>10</v>
      </c>
      <c r="P31" s="19" t="str">
        <f>'תגובות לטופס 6 תום'!BF2</f>
        <v/>
      </c>
      <c r="Q31" s="18" t="str">
        <f>'תגובות לטופס 6 תום'!BG2</f>
        <v>10</v>
      </c>
      <c r="R31" s="19" t="str">
        <f>'תגובות לטופס 6 תום'!BH2</f>
        <v/>
      </c>
      <c r="S31" s="21" t="str">
        <f>'תגובות לטופס 6 תום'!BI2</f>
        <v/>
      </c>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row>
    <row r="32" ht="66.0" customHeight="1">
      <c r="A32" s="53" t="s">
        <v>250</v>
      </c>
      <c r="B32" s="17" t="s">
        <v>251</v>
      </c>
      <c r="C32" s="16" t="s">
        <v>199</v>
      </c>
      <c r="D32" s="16" t="s">
        <v>240</v>
      </c>
      <c r="E32" s="17" t="s">
        <v>107</v>
      </c>
      <c r="F32" s="56"/>
      <c r="G32" s="53"/>
      <c r="S32" s="56"/>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row>
    <row r="33" ht="66.0" customHeight="1">
      <c r="A33" s="53" t="s">
        <v>252</v>
      </c>
      <c r="B33" s="17" t="s">
        <v>251</v>
      </c>
      <c r="C33" s="16" t="s">
        <v>83</v>
      </c>
      <c r="D33" s="16" t="s">
        <v>88</v>
      </c>
      <c r="E33" s="17" t="s">
        <v>89</v>
      </c>
      <c r="F33" s="56"/>
      <c r="G33" s="53"/>
      <c r="S33" s="56"/>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row>
    <row r="34" ht="66.0" customHeight="1">
      <c r="A34" s="53" t="s">
        <v>253</v>
      </c>
      <c r="B34" s="17" t="s">
        <v>251</v>
      </c>
      <c r="C34" s="16" t="s">
        <v>135</v>
      </c>
      <c r="D34" s="16" t="s">
        <v>141</v>
      </c>
      <c r="E34" s="17" t="s">
        <v>142</v>
      </c>
      <c r="F34" s="56"/>
      <c r="G34" s="53"/>
      <c r="S34" s="56"/>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row>
    <row r="35" ht="66.0" customHeight="1">
      <c r="A35" s="53" t="s">
        <v>254</v>
      </c>
      <c r="B35" s="17" t="s">
        <v>251</v>
      </c>
      <c r="C35" s="16" t="s">
        <v>92</v>
      </c>
      <c r="D35" s="16" t="s">
        <v>255</v>
      </c>
      <c r="E35" s="17" t="s">
        <v>94</v>
      </c>
      <c r="F35" s="56"/>
      <c r="G35" s="53"/>
      <c r="S35" s="56"/>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row>
    <row r="36" ht="66.0" customHeight="1">
      <c r="A36" s="53" t="s">
        <v>256</v>
      </c>
      <c r="B36" s="17" t="s">
        <v>251</v>
      </c>
      <c r="C36" s="16" t="s">
        <v>119</v>
      </c>
      <c r="D36" s="16" t="s">
        <v>124</v>
      </c>
      <c r="E36" s="17" t="s">
        <v>121</v>
      </c>
      <c r="F36" s="56"/>
      <c r="G36" s="53"/>
      <c r="S36" s="56"/>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row>
    <row r="37" ht="66.0" customHeight="1">
      <c r="A37" s="53" t="s">
        <v>152</v>
      </c>
      <c r="B37" s="17" t="s">
        <v>153</v>
      </c>
      <c r="C37" s="16" t="s">
        <v>154</v>
      </c>
      <c r="D37" s="16" t="s">
        <v>155</v>
      </c>
      <c r="E37" s="17" t="s">
        <v>156</v>
      </c>
      <c r="F37" s="70" t="s">
        <v>147</v>
      </c>
      <c r="G37" s="13" t="str">
        <f>'תגובות לטופס 8 מיכאל'!A2</f>
        <v>8/20/2026 11:34:01</v>
      </c>
      <c r="H37" s="18" t="str">
        <f>'תגובות לטופס 8 מיכאל'!B2</f>
        <v>נכונה</v>
      </c>
      <c r="I37" s="18" t="str">
        <f>'תגובות לטופס 8 מיכאל'!C2</f>
        <v>10</v>
      </c>
      <c r="J37" s="19" t="str">
        <f>'תגובות לטופס 8 מיכאל'!D2</f>
        <v/>
      </c>
      <c r="K37" s="18" t="str">
        <f>'תגובות לטופס 8 מיכאל'!E2</f>
        <v>10</v>
      </c>
      <c r="L37" s="19" t="str">
        <f>'תגובות לטופס 8 מיכאל'!F2</f>
        <v/>
      </c>
      <c r="M37" s="18" t="str">
        <f>'תגובות לטופס 8 מיכאל'!G2</f>
        <v>10</v>
      </c>
      <c r="N37" s="19" t="str">
        <f>'תגובות לטופס 8 מיכאל'!H2</f>
        <v/>
      </c>
      <c r="O37" s="18" t="str">
        <f>'תגובות לטופס 8 מיכאל'!I2</f>
        <v>9</v>
      </c>
      <c r="P37" s="19" t="str">
        <f>'תגובות לטופס 8 מיכאל'!J2</f>
        <v>עונה על השאלה במדויק</v>
      </c>
      <c r="Q37" s="18" t="str">
        <f>'תגובות לטופס 8 מיכאל'!K2</f>
        <v>10</v>
      </c>
      <c r="R37" s="19" t="str">
        <f>'תגובות לטופס 8 מיכאל'!L2</f>
        <v>כן</v>
      </c>
      <c r="S37" s="21" t="str">
        <f>'תגובות לטופס 8 מיכאל'!M2</f>
        <v/>
      </c>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row>
    <row r="38" ht="110.25" customHeight="1">
      <c r="A38" s="53" t="s">
        <v>157</v>
      </c>
      <c r="B38" s="17" t="s">
        <v>153</v>
      </c>
      <c r="C38" s="16" t="s">
        <v>159</v>
      </c>
      <c r="D38" s="16" t="s">
        <v>166</v>
      </c>
      <c r="E38" s="17" t="s">
        <v>167</v>
      </c>
      <c r="F38" s="79" t="s">
        <v>163</v>
      </c>
      <c r="G38" s="13" t="str">
        <f t="shared" ref="G38:G41" si="3">G37</f>
        <v>8/20/2026 11:34:01</v>
      </c>
      <c r="H38" s="18" t="str">
        <f>'תגובות לטופס 8 מיכאל'!N2</f>
        <v>נכונה</v>
      </c>
      <c r="I38" s="18" t="str">
        <f>'תגובות לטופס 8 מיכאל'!O2</f>
        <v>7</v>
      </c>
      <c r="J38" s="41" t="str">
        <f>'תגובות לטופס 8 מיכאל'!P2</f>
        <v>החלק לגבי תחולת 8ב אינו נכון. 8ב חל על הכנסות מ 2(6)</v>
      </c>
      <c r="K38" s="18" t="str">
        <f>'תגובות לטופס 8 מיכאל'!Q2</f>
        <v>7</v>
      </c>
      <c r="L38" s="41" t="str">
        <f>'תגובות לטופס 8 מיכאל'!R2</f>
        <v>אין התייחסות להבדלים בין חברות ליחידים</v>
      </c>
      <c r="M38" s="18" t="str">
        <f>'תגובות לטופס 8 מיכאל'!S2</f>
        <v>9</v>
      </c>
      <c r="N38" s="19" t="str">
        <f>'תגובות לטופס 8 מיכאל'!T2</f>
        <v/>
      </c>
      <c r="O38" s="18" t="str">
        <f>'תגובות לטופס 8 מיכאל'!U2</f>
        <v>8</v>
      </c>
      <c r="P38" s="19" t="str">
        <f>'תגובות לטופס 8 מיכאל'!V2</f>
        <v/>
      </c>
      <c r="Q38" s="18" t="str">
        <f>'תגובות לטופס 8 מיכאל'!W2</f>
        <v>8</v>
      </c>
      <c r="R38" s="19" t="str">
        <f>'תגובות לטופס 8 מיכאל'!X2</f>
        <v/>
      </c>
      <c r="S38" s="21" t="str">
        <f>'תגובות לטופס 8 מיכאל'!Y2</f>
        <v/>
      </c>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row>
    <row r="39" ht="66.0" customHeight="1">
      <c r="A39" s="53" t="s">
        <v>168</v>
      </c>
      <c r="B39" s="17" t="s">
        <v>153</v>
      </c>
      <c r="C39" s="16" t="s">
        <v>169</v>
      </c>
      <c r="D39" s="71" t="s">
        <v>176</v>
      </c>
      <c r="E39" s="17" t="s">
        <v>171</v>
      </c>
      <c r="F39" s="72" t="s">
        <v>248</v>
      </c>
      <c r="G39" s="13" t="str">
        <f t="shared" si="3"/>
        <v>8/20/2026 11:34:01</v>
      </c>
      <c r="H39" s="18" t="str">
        <f>'תגובות לטופס 8 מיכאל'!Z2</f>
        <v>נכונה</v>
      </c>
      <c r="I39" s="18" t="str">
        <f>'תגובות לטופס 8 מיכאל'!AA2</f>
        <v>10</v>
      </c>
      <c r="J39" s="19" t="str">
        <f>'תגובות לטופס 8 מיכאל'!AB2</f>
        <v/>
      </c>
      <c r="K39" s="18" t="str">
        <f>'תגובות לטופס 8 מיכאל'!AC2</f>
        <v>9</v>
      </c>
      <c r="L39" s="28" t="str">
        <f>'תגובות לטופס 8 מיכאל'!AD2</f>
        <v>אפשר להוסיף התייחסות לאופן הטיפול הטכני</v>
      </c>
      <c r="M39" s="18" t="str">
        <f>'תגובות לטופס 8 מיכאל'!AE2</f>
        <v>10</v>
      </c>
      <c r="N39" s="19" t="str">
        <f>'תגובות לטופס 8 מיכאל'!AF2</f>
        <v/>
      </c>
      <c r="O39" s="18" t="str">
        <f>'תגובות לטופס 8 מיכאל'!AG2</f>
        <v>10</v>
      </c>
      <c r="P39" s="19" t="str">
        <f>'תגובות לטופס 8 מיכאל'!AH2</f>
        <v/>
      </c>
      <c r="Q39" s="18" t="str">
        <f>'תגובות לטופס 8 מיכאל'!AI2</f>
        <v>10</v>
      </c>
      <c r="R39" s="19" t="str">
        <f>'תגובות לטופס 8 מיכאל'!AJ2</f>
        <v/>
      </c>
      <c r="S39" s="21" t="str">
        <f>'תגובות לטופס 8 מיכאל'!AK2</f>
        <v/>
      </c>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row>
    <row r="40" ht="66.0" customHeight="1">
      <c r="A40" s="53" t="s">
        <v>257</v>
      </c>
      <c r="B40" s="17" t="s">
        <v>153</v>
      </c>
      <c r="C40" s="16" t="s">
        <v>33</v>
      </c>
      <c r="D40" s="71" t="s">
        <v>38</v>
      </c>
      <c r="E40" s="17" t="s">
        <v>35</v>
      </c>
      <c r="F40" s="72" t="s">
        <v>235</v>
      </c>
      <c r="G40" s="13" t="str">
        <f t="shared" si="3"/>
        <v>8/20/2026 11:34:01</v>
      </c>
      <c r="H40" s="18" t="str">
        <f>'תגובות לטופס 8 מיכאל'!AL2</f>
        <v>נכונה</v>
      </c>
      <c r="I40" s="18" t="str">
        <f>'תגובות לטופס 8 מיכאל'!AM2</f>
        <v>10</v>
      </c>
      <c r="J40" s="19" t="str">
        <f>'תגובות לטופס 8 מיכאל'!AN2</f>
        <v/>
      </c>
      <c r="K40" s="18" t="str">
        <f>'תגובות לטופס 8 מיכאל'!AO2</f>
        <v>9</v>
      </c>
      <c r="L40" s="28" t="str">
        <f>'תגובות לטופס 8 מיכאל'!AP2</f>
        <v>ניתן היה להוסיף התייחסות לפרויקט בליווי פיננסי סגור </v>
      </c>
      <c r="M40" s="18" t="str">
        <f>'תגובות לטופס 8 מיכאל'!AQ2</f>
        <v>10</v>
      </c>
      <c r="N40" s="19" t="str">
        <f>'תגובות לטופס 8 מיכאל'!AR2</f>
        <v/>
      </c>
      <c r="O40" s="18" t="str">
        <f>'תגובות לטופס 8 מיכאל'!AS2</f>
        <v>10</v>
      </c>
      <c r="P40" s="19" t="str">
        <f>'תגובות לטופס 8 מיכאל'!AT2</f>
        <v/>
      </c>
      <c r="Q40" s="18" t="str">
        <f>'תגובות לטופס 8 מיכאל'!AU2</f>
        <v>10</v>
      </c>
      <c r="R40" s="19" t="str">
        <f>'תגובות לטופס 8 מיכאל'!AV2</f>
        <v/>
      </c>
      <c r="S40" s="21" t="str">
        <f>'תגובות לטופס 8 מיכאל'!AW2</f>
        <v/>
      </c>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row>
    <row r="41" ht="118.5" customHeight="1">
      <c r="A41" s="53" t="s">
        <v>258</v>
      </c>
      <c r="B41" s="17" t="s">
        <v>153</v>
      </c>
      <c r="C41" s="16" t="s">
        <v>74</v>
      </c>
      <c r="D41" s="16" t="s">
        <v>79</v>
      </c>
      <c r="E41" s="17" t="s">
        <v>80</v>
      </c>
      <c r="F41" s="76" t="s">
        <v>78</v>
      </c>
      <c r="G41" s="13" t="str">
        <f t="shared" si="3"/>
        <v>8/20/2026 11:34:01</v>
      </c>
      <c r="H41" s="18" t="str">
        <f>'תגובות לטופס 8 מיכאל'!AX2</f>
        <v>שגויה</v>
      </c>
      <c r="I41" s="18" t="str">
        <f>'תגובות לטופס 8 מיכאל'!AY2</f>
        <v>2</v>
      </c>
      <c r="J41" s="52" t="str">
        <f>'תגובות לטופס 8 מיכאל'!AZ2</f>
        <v>היעדר סעיפי החוק המרכזיים. התשובה אינה מציינת את סעיף 17(1) ואת סעיף 18(ג) לפקודה. 
הסתמכות שגויה על חוק התיאומים שבוטל. 
היעדר מוחלט של הפסיקה המנחה. </v>
      </c>
      <c r="K41" s="18" t="str">
        <f>'תגובות לטופס 8 מיכאל'!BA2</f>
        <v>2</v>
      </c>
      <c r="L41" s="52" t="str">
        <f>'תגובות לטופס 8 מיכאל'!BB2</f>
        <v>היעדר סעיפי החוק המרכזיים. התשובה אינה מציינת את סעיף 17(1) ואת סעיף 18(ג) לפקודה. 
הסתמכות שגויה על חוק התיאומים שבוטל. 
היעדר מוחלט של הפסיקה המנחה. </v>
      </c>
      <c r="M41" s="18" t="str">
        <f>'תגובות לטופס 8 מיכאל'!BC2</f>
        <v>2</v>
      </c>
      <c r="N41" s="52" t="str">
        <f>'תגובות לטופס 8 מיכאל'!BD2</f>
        <v>חסר התייחסות לסעיפי החוק מהפקודה. חסר פסיקה שמאוד חשובה בסוגיה זאת. מנגד חוק התיאומים לא רלוונטי כמעט בכלל. </v>
      </c>
      <c r="O41" s="18" t="str">
        <f>'תגובות לטופס 8 מיכאל'!BE2</f>
        <v>2</v>
      </c>
      <c r="P41" s="52" t="str">
        <f>'תגובות לטופס 8 מיכאל'!BF2</f>
        <v>היעדר סעיפי החוק המרכזיים. התשובה אינה מציינת את סעיף 17(1) ואת סעיף 18(ג) לפקודה. 
הסתמכות שגויה על חוק התיאומים שבוטל. 
היעדר מוחלט של הפסיקה המנחה. </v>
      </c>
      <c r="Q41" s="18" t="str">
        <f>'תגובות לטופס 8 מיכאל'!BG2</f>
        <v>1</v>
      </c>
      <c r="R41" s="19" t="str">
        <f>'תגובות לטופס 8 מיכאל'!BH2</f>
        <v/>
      </c>
      <c r="S41" s="21" t="str">
        <f>'תגובות לטופס 8 מיכאל'!BI2</f>
        <v/>
      </c>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row>
    <row r="42" ht="98.25" customHeight="1">
      <c r="A42" s="53" t="s">
        <v>177</v>
      </c>
      <c r="B42" s="17" t="s">
        <v>189</v>
      </c>
      <c r="C42" s="16" t="s">
        <v>179</v>
      </c>
      <c r="D42" s="16" t="s">
        <v>186</v>
      </c>
      <c r="E42" s="17" t="s">
        <v>187</v>
      </c>
      <c r="F42" s="80" t="s">
        <v>183</v>
      </c>
      <c r="G42" s="13" t="str">
        <f>'תגובות לטופס 9 רוני'!A2</f>
        <v>8/18/2026 17:36:42</v>
      </c>
      <c r="H42" s="18" t="str">
        <f>'תגובות לטופס 9 רוני'!B2</f>
        <v>שגויה</v>
      </c>
      <c r="I42" s="18" t="str">
        <f>'תגובות לטופס 9 רוני'!C2</f>
        <v>1</v>
      </c>
      <c r="J42" s="52" t="str">
        <f>'תגובות לטופס 9 רוני'!D2</f>
        <v>התשובה מתייחסת להעברת כספים מהחברה לתושב חוץ. ברגע שחברה זרה רוכשת מניות של חברה ישראלית הגורם המנפיק הוא המחלקה המקצועית ולא משרדי השומה. במקרה שלנו כנראה לא חלה חובת ניכוי מס במקור לפי 97ב.</v>
      </c>
      <c r="K42" s="18" t="str">
        <f>'תגובות לטופס 9 רוני'!E2</f>
        <v>1</v>
      </c>
      <c r="L42" s="52" t="str">
        <f>'תגובות לטופס 9 רוני'!F2</f>
        <v>תשובה לא נכונה.</v>
      </c>
      <c r="M42" s="18" t="str">
        <f>'תגובות לטופס 9 רוני'!G2</f>
        <v>1</v>
      </c>
      <c r="N42" s="52" t="str">
        <f>'תגובות לטופס 9 רוני'!H2</f>
        <v>הוראת הביצוע לא רלוונטית.</v>
      </c>
      <c r="O42" s="18" t="str">
        <f>'תגובות לטופס 9 רוני'!I2</f>
        <v>1</v>
      </c>
      <c r="P42" s="52" t="str">
        <f>'תגובות לטופס 9 רוני'!J2</f>
        <v>לא נכונה.</v>
      </c>
      <c r="Q42" s="18" t="str">
        <f>'תגובות לטופס 9 רוני'!K2</f>
        <v>1</v>
      </c>
      <c r="R42" s="19" t="str">
        <f>'תגובות לטופס 9 רוני'!L2</f>
        <v>ההסברים לא קשורים לשאלה.</v>
      </c>
      <c r="S42" s="21"/>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row>
    <row r="43" ht="66.0" customHeight="1">
      <c r="A43" s="53" t="s">
        <v>259</v>
      </c>
      <c r="B43" s="17" t="s">
        <v>189</v>
      </c>
      <c r="C43" s="16" t="s">
        <v>98</v>
      </c>
      <c r="D43" s="16" t="s">
        <v>103</v>
      </c>
      <c r="E43" s="17" t="s">
        <v>100</v>
      </c>
      <c r="F43" s="70" t="s">
        <v>147</v>
      </c>
      <c r="G43" s="13" t="str">
        <f t="shared" ref="G43:G46" si="4">G42</f>
        <v>8/18/2026 17:36:42</v>
      </c>
      <c r="H43" s="18" t="str">
        <f>'תגובות לטופס 9 רוני'!N2</f>
        <v>נכונה</v>
      </c>
      <c r="I43" s="18" t="str">
        <f>'תגובות לטופס 9 רוני'!O2</f>
        <v>10</v>
      </c>
      <c r="J43" s="19" t="str">
        <f>'תגובות לטופס 9 רוני'!P2</f>
        <v/>
      </c>
      <c r="K43" s="18" t="str">
        <f>'תגובות לטופס 9 רוני'!Q2</f>
        <v>10</v>
      </c>
      <c r="L43" s="19" t="str">
        <f>'תגובות לטופס 9 רוני'!R2</f>
        <v/>
      </c>
      <c r="M43" s="18" t="str">
        <f>'תגובות לטופס 9 רוני'!S2</f>
        <v>10</v>
      </c>
      <c r="N43" s="19" t="str">
        <f>'תגובות לטופס 9 רוני'!T2</f>
        <v/>
      </c>
      <c r="O43" s="18" t="str">
        <f>'תגובות לטופס 9 רוני'!U2</f>
        <v>10</v>
      </c>
      <c r="P43" s="19" t="str">
        <f>'תגובות לטופס 9 רוני'!V2</f>
        <v/>
      </c>
      <c r="Q43" s="18" t="str">
        <f>'תגובות לטופס 9 רוני'!W2</f>
        <v>10</v>
      </c>
      <c r="R43" s="19" t="str">
        <f>'תגובות לטופס 9 רוני'!X2</f>
        <v>אפשר להסתמך.</v>
      </c>
      <c r="S43" s="21"/>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row>
    <row r="44" ht="66.0" customHeight="1">
      <c r="A44" s="74" t="s">
        <v>260</v>
      </c>
      <c r="B44" s="17" t="s">
        <v>189</v>
      </c>
      <c r="C44" s="16" t="s">
        <v>65</v>
      </c>
      <c r="D44" s="16" t="s">
        <v>70</v>
      </c>
      <c r="E44" s="17" t="s">
        <v>71</v>
      </c>
      <c r="F44" s="70" t="s">
        <v>147</v>
      </c>
      <c r="G44" s="13" t="str">
        <f t="shared" si="4"/>
        <v>8/18/2026 17:36:42</v>
      </c>
      <c r="H44" s="18" t="str">
        <f>'תגובות לטופס 9 רוני'!Z2</f>
        <v>נכונה</v>
      </c>
      <c r="I44" s="18" t="str">
        <f>'תגובות לטופס 9 רוני'!AA2</f>
        <v>10</v>
      </c>
      <c r="J44" s="19" t="str">
        <f>'תגובות לטופס 9 רוני'!AB2</f>
        <v/>
      </c>
      <c r="K44" s="18" t="str">
        <f>'תגובות לטופס 9 רוני'!AC2</f>
        <v>10</v>
      </c>
      <c r="L44" s="19" t="str">
        <f>'תגובות לטופס 9 רוני'!AD2</f>
        <v/>
      </c>
      <c r="M44" s="18" t="str">
        <f>'תגובות לטופס 9 רוני'!AE2</f>
        <v>10</v>
      </c>
      <c r="N44" s="19" t="str">
        <f>'תגובות לטופס 9 רוני'!AF2</f>
        <v/>
      </c>
      <c r="O44" s="18" t="str">
        <f>'תגובות לטופס 9 רוני'!AG2</f>
        <v>10</v>
      </c>
      <c r="P44" s="19" t="str">
        <f>'תגובות לטופס 9 רוני'!AH2</f>
        <v/>
      </c>
      <c r="Q44" s="18" t="str">
        <f>'תגובות לטופס 9 רוני'!AI2</f>
        <v>10</v>
      </c>
      <c r="R44" s="19" t="str">
        <f>'תגובות לטופס 9 רוני'!AJ2</f>
        <v>אפשר להסתמך.</v>
      </c>
      <c r="S44" s="21"/>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row>
    <row r="45" ht="66.0" customHeight="1">
      <c r="A45" s="53" t="s">
        <v>188</v>
      </c>
      <c r="B45" s="17" t="s">
        <v>189</v>
      </c>
      <c r="C45" s="16" t="s">
        <v>190</v>
      </c>
      <c r="D45" s="16" t="s">
        <v>191</v>
      </c>
      <c r="E45" s="17" t="s">
        <v>192</v>
      </c>
      <c r="F45" s="70" t="s">
        <v>147</v>
      </c>
      <c r="G45" s="13" t="str">
        <f t="shared" si="4"/>
        <v>8/18/2026 17:36:42</v>
      </c>
      <c r="H45" s="18" t="str">
        <f>'תגובות לטופס 9 רוני'!AL2</f>
        <v>נכונה</v>
      </c>
      <c r="I45" s="18" t="str">
        <f>'תגובות לטופס 9 רוני'!AM2</f>
        <v>10</v>
      </c>
      <c r="J45" s="19" t="str">
        <f>'תגובות לטופס 9 רוני'!AN2</f>
        <v/>
      </c>
      <c r="K45" s="18" t="str">
        <f>'תגובות לטופס 9 רוני'!AO2</f>
        <v>10</v>
      </c>
      <c r="L45" s="19" t="str">
        <f>'תגובות לטופס 9 רוני'!AP2</f>
        <v/>
      </c>
      <c r="M45" s="18" t="str">
        <f>'תגובות לטופס 9 רוני'!AQ2</f>
        <v>10</v>
      </c>
      <c r="N45" s="19" t="str">
        <f>'תגובות לטופס 9 רוני'!AR2</f>
        <v/>
      </c>
      <c r="O45" s="18" t="str">
        <f>'תגובות לטופס 9 רוני'!AS2</f>
        <v>10</v>
      </c>
      <c r="P45" s="19" t="str">
        <f>'תגובות לטופס 9 רוני'!AT2</f>
        <v/>
      </c>
      <c r="Q45" s="18" t="str">
        <f>'תגובות לטופס 9 רוני'!AU2</f>
        <v>10</v>
      </c>
      <c r="R45" s="19" t="str">
        <f>'תגובות לטופס 9 רוני'!AV2</f>
        <v>אפשר להסתמך.</v>
      </c>
      <c r="S45" s="21"/>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row>
    <row r="46" ht="66.0" customHeight="1">
      <c r="A46" s="53" t="s">
        <v>193</v>
      </c>
      <c r="B46" s="17" t="s">
        <v>189</v>
      </c>
      <c r="C46" s="16" t="s">
        <v>194</v>
      </c>
      <c r="D46" s="16" t="s">
        <v>195</v>
      </c>
      <c r="E46" s="17" t="s">
        <v>196</v>
      </c>
      <c r="F46" s="70" t="s">
        <v>147</v>
      </c>
      <c r="G46" s="13" t="str">
        <f t="shared" si="4"/>
        <v>8/18/2026 17:36:42</v>
      </c>
      <c r="H46" s="18" t="str">
        <f>'תגובות לטופס 9 רוני'!AX2</f>
        <v>נכונה</v>
      </c>
      <c r="I46" s="18" t="str">
        <f>'תגובות לטופס 9 רוני'!AY2</f>
        <v>10</v>
      </c>
      <c r="J46" s="19" t="str">
        <f>'תגובות לטופס 9 רוני'!AZ2</f>
        <v/>
      </c>
      <c r="K46" s="18" t="str">
        <f>'תגובות לטופס 9 רוני'!BA2</f>
        <v>10</v>
      </c>
      <c r="L46" s="19" t="str">
        <f>'תגובות לטופס 9 רוני'!BB2</f>
        <v/>
      </c>
      <c r="M46" s="18" t="str">
        <f>'תגובות לטופס 9 רוני'!BC2</f>
        <v>10</v>
      </c>
      <c r="N46" s="19" t="str">
        <f>'תגובות לטופס 9 רוני'!BD2</f>
        <v/>
      </c>
      <c r="O46" s="18" t="str">
        <f>'תגובות לטופס 9 רוני'!BE2</f>
        <v>10</v>
      </c>
      <c r="P46" s="19" t="str">
        <f>'תגובות לטופס 9 רוני'!BF2</f>
        <v/>
      </c>
      <c r="Q46" s="18" t="str">
        <f>'תגובות לטופס 9 רוני'!BG2</f>
        <v>10</v>
      </c>
      <c r="R46" s="19" t="str">
        <f>'תגובות לטופס 9 רוני'!BH2</f>
        <v>אפשר להסתמך.</v>
      </c>
      <c r="S46" s="21"/>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row>
    <row r="47" ht="66.0" customHeight="1">
      <c r="A47" s="53" t="s">
        <v>261</v>
      </c>
      <c r="B47" s="17" t="s">
        <v>207</v>
      </c>
      <c r="C47" s="16" t="s">
        <v>26</v>
      </c>
      <c r="D47" s="16" t="s">
        <v>31</v>
      </c>
      <c r="E47" s="17" t="s">
        <v>28</v>
      </c>
      <c r="F47" s="56"/>
      <c r="S47" s="56"/>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row>
    <row r="48" ht="66.0" customHeight="1">
      <c r="A48" s="53" t="s">
        <v>262</v>
      </c>
      <c r="B48" s="17" t="s">
        <v>207</v>
      </c>
      <c r="C48" s="16" t="s">
        <v>56</v>
      </c>
      <c r="D48" s="16" t="s">
        <v>61</v>
      </c>
      <c r="E48" s="17" t="s">
        <v>62</v>
      </c>
      <c r="F48" s="56"/>
      <c r="S48" s="56"/>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row>
    <row r="49" ht="66.0" customHeight="1">
      <c r="A49" s="53" t="s">
        <v>263</v>
      </c>
      <c r="B49" s="17" t="s">
        <v>207</v>
      </c>
      <c r="C49" s="16" t="s">
        <v>190</v>
      </c>
      <c r="D49" s="16" t="s">
        <v>191</v>
      </c>
      <c r="E49" s="17" t="s">
        <v>192</v>
      </c>
      <c r="F49" s="56"/>
      <c r="S49" s="56"/>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row>
    <row r="50" ht="66.0" customHeight="1">
      <c r="A50" s="53" t="s">
        <v>264</v>
      </c>
      <c r="B50" s="17" t="s">
        <v>207</v>
      </c>
      <c r="C50" s="16" t="s">
        <v>194</v>
      </c>
      <c r="D50" s="16" t="s">
        <v>195</v>
      </c>
      <c r="E50" s="17" t="s">
        <v>196</v>
      </c>
      <c r="F50" s="56"/>
      <c r="S50" s="56"/>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row>
    <row r="51" ht="66.0" customHeight="1">
      <c r="A51" s="53" t="s">
        <v>206</v>
      </c>
      <c r="B51" s="17" t="s">
        <v>207</v>
      </c>
      <c r="C51" s="16" t="s">
        <v>208</v>
      </c>
      <c r="D51" s="16" t="s">
        <v>244</v>
      </c>
      <c r="E51" s="17" t="s">
        <v>245</v>
      </c>
      <c r="F51" s="56"/>
      <c r="S51" s="56"/>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row>
    <row r="52" ht="15.75" customHeight="1">
      <c r="C52" s="65"/>
      <c r="D52" s="65"/>
      <c r="F52" s="56"/>
      <c r="S52" s="56"/>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row>
    <row r="53" ht="15.75" customHeight="1">
      <c r="C53" s="65"/>
      <c r="D53" s="65"/>
      <c r="F53" s="56"/>
      <c r="S53" s="56"/>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row>
    <row r="54" ht="15.75" customHeight="1">
      <c r="C54" s="65"/>
      <c r="D54" s="65"/>
      <c r="F54" s="56"/>
      <c r="S54" s="56"/>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row>
    <row r="55" ht="15.75" customHeight="1">
      <c r="C55" s="65"/>
      <c r="D55" s="65"/>
      <c r="F55" s="56"/>
      <c r="S55" s="56"/>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row>
    <row r="56" ht="15.75" customHeight="1">
      <c r="C56" s="65"/>
      <c r="D56" s="65"/>
      <c r="F56" s="56"/>
      <c r="S56" s="56"/>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row>
    <row r="57" ht="15.75" customHeight="1">
      <c r="C57" s="65"/>
      <c r="D57" s="65"/>
      <c r="F57" s="56"/>
      <c r="S57" s="56"/>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row>
    <row r="58" ht="15.75" customHeight="1">
      <c r="C58" s="65"/>
      <c r="D58" s="65"/>
      <c r="F58" s="56"/>
      <c r="S58" s="56"/>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row>
    <row r="59" ht="15.75" customHeight="1">
      <c r="C59" s="65"/>
      <c r="D59" s="65"/>
      <c r="F59" s="56"/>
      <c r="S59" s="56"/>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row>
    <row r="60" ht="15.75" customHeight="1">
      <c r="C60" s="65"/>
      <c r="D60" s="65"/>
      <c r="F60" s="56"/>
      <c r="S60" s="56"/>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row>
    <row r="61" ht="15.75" customHeight="1">
      <c r="C61" s="65"/>
      <c r="D61" s="65"/>
      <c r="F61" s="56"/>
      <c r="S61" s="56"/>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row>
    <row r="62" ht="15.75" customHeight="1">
      <c r="C62" s="65"/>
      <c r="D62" s="65"/>
      <c r="F62" s="56"/>
      <c r="S62" s="56"/>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row>
    <row r="63" ht="15.75" customHeight="1">
      <c r="C63" s="65"/>
      <c r="D63" s="65"/>
      <c r="F63" s="56"/>
      <c r="S63" s="56"/>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row>
    <row r="64" ht="15.75" customHeight="1">
      <c r="C64" s="65"/>
      <c r="D64" s="65"/>
      <c r="F64" s="56"/>
      <c r="S64" s="56"/>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row>
    <row r="65" ht="15.75" customHeight="1">
      <c r="C65" s="65"/>
      <c r="D65" s="65"/>
      <c r="F65" s="56"/>
      <c r="S65" s="56"/>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row>
    <row r="66" ht="15.75" customHeight="1">
      <c r="C66" s="65"/>
      <c r="D66" s="65"/>
      <c r="F66" s="56"/>
      <c r="S66" s="56"/>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row>
    <row r="67" ht="15.75" customHeight="1">
      <c r="C67" s="65"/>
      <c r="D67" s="65"/>
      <c r="F67" s="56"/>
      <c r="S67" s="56"/>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row>
    <row r="68" ht="15.75" customHeight="1">
      <c r="C68" s="65"/>
      <c r="D68" s="65"/>
      <c r="F68" s="56"/>
      <c r="S68" s="56"/>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row>
    <row r="69" ht="15.75" customHeight="1">
      <c r="C69" s="65"/>
      <c r="D69" s="65"/>
      <c r="F69" s="56"/>
      <c r="S69" s="56"/>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row>
    <row r="70" ht="15.75" customHeight="1">
      <c r="C70" s="65"/>
      <c r="D70" s="65"/>
      <c r="F70" s="56"/>
      <c r="S70" s="56"/>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row>
    <row r="71" ht="15.75" customHeight="1">
      <c r="C71" s="65"/>
      <c r="D71" s="65"/>
      <c r="F71" s="56"/>
      <c r="S71" s="56"/>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row>
    <row r="72" ht="15.75" customHeight="1">
      <c r="C72" s="65"/>
      <c r="D72" s="65"/>
      <c r="F72" s="56"/>
      <c r="S72" s="56"/>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row>
    <row r="73" ht="15.75" customHeight="1">
      <c r="C73" s="65"/>
      <c r="D73" s="65"/>
      <c r="F73" s="56"/>
      <c r="S73" s="56"/>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row>
    <row r="74" ht="15.75" customHeight="1">
      <c r="C74" s="65"/>
      <c r="D74" s="65"/>
      <c r="F74" s="56"/>
      <c r="S74" s="56"/>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row>
    <row r="75" ht="15.75" customHeight="1">
      <c r="C75" s="65"/>
      <c r="D75" s="65"/>
      <c r="F75" s="56"/>
      <c r="S75" s="56"/>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row>
    <row r="76" ht="15.75" customHeight="1">
      <c r="C76" s="65"/>
      <c r="D76" s="65"/>
      <c r="F76" s="56"/>
      <c r="S76" s="56"/>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row>
    <row r="77" ht="15.75" customHeight="1">
      <c r="C77" s="65"/>
      <c r="D77" s="65"/>
      <c r="F77" s="56"/>
      <c r="S77" s="56"/>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row>
    <row r="78" ht="15.75" customHeight="1">
      <c r="C78" s="65"/>
      <c r="D78" s="65"/>
      <c r="F78" s="56"/>
      <c r="S78" s="56"/>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row>
    <row r="79" ht="15.75" customHeight="1">
      <c r="C79" s="65"/>
      <c r="D79" s="65"/>
      <c r="F79" s="56"/>
      <c r="S79" s="56"/>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row>
    <row r="80" ht="15.75" customHeight="1">
      <c r="C80" s="65"/>
      <c r="D80" s="65"/>
      <c r="F80" s="56"/>
      <c r="S80" s="56"/>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row>
    <row r="81" ht="15.75" customHeight="1">
      <c r="C81" s="65"/>
      <c r="D81" s="65"/>
      <c r="F81" s="56"/>
      <c r="S81" s="56"/>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row>
    <row r="82" ht="15.75" customHeight="1">
      <c r="C82" s="65"/>
      <c r="D82" s="65"/>
      <c r="F82" s="56"/>
      <c r="S82" s="56"/>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row>
    <row r="83" ht="15.75" customHeight="1">
      <c r="C83" s="65"/>
      <c r="D83" s="65"/>
      <c r="F83" s="56"/>
      <c r="S83" s="56"/>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row>
    <row r="84" ht="15.75" customHeight="1">
      <c r="C84" s="65"/>
      <c r="D84" s="65"/>
      <c r="F84" s="56"/>
      <c r="S84" s="56"/>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row>
    <row r="85" ht="15.75" customHeight="1">
      <c r="C85" s="65"/>
      <c r="D85" s="65"/>
      <c r="F85" s="56"/>
      <c r="S85" s="56"/>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row>
    <row r="86" ht="15.75" customHeight="1">
      <c r="C86" s="65"/>
      <c r="D86" s="65"/>
      <c r="F86" s="56"/>
      <c r="S86" s="56"/>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row>
    <row r="87" ht="15.75" customHeight="1">
      <c r="C87" s="65"/>
      <c r="D87" s="65"/>
      <c r="F87" s="56"/>
      <c r="S87" s="56"/>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row>
    <row r="88" ht="15.75" customHeight="1">
      <c r="C88" s="65"/>
      <c r="D88" s="65"/>
      <c r="F88" s="56"/>
      <c r="S88" s="56"/>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row>
    <row r="89" ht="15.75" customHeight="1">
      <c r="C89" s="65"/>
      <c r="D89" s="65"/>
      <c r="F89" s="56"/>
      <c r="S89" s="56"/>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row>
    <row r="90" ht="15.75" customHeight="1">
      <c r="C90" s="65"/>
      <c r="D90" s="65"/>
      <c r="F90" s="56"/>
      <c r="S90" s="56"/>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row>
    <row r="91" ht="15.75" customHeight="1">
      <c r="C91" s="65"/>
      <c r="D91" s="65"/>
      <c r="F91" s="56"/>
      <c r="S91" s="56"/>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row>
    <row r="92" ht="15.75" customHeight="1">
      <c r="C92" s="65"/>
      <c r="D92" s="65"/>
      <c r="F92" s="56"/>
      <c r="S92" s="56"/>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row>
    <row r="93" ht="15.75" customHeight="1">
      <c r="C93" s="65"/>
      <c r="D93" s="65"/>
      <c r="F93" s="56"/>
      <c r="S93" s="56"/>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row>
    <row r="94" ht="15.75" customHeight="1">
      <c r="C94" s="65"/>
      <c r="D94" s="65"/>
      <c r="F94" s="56"/>
      <c r="S94" s="56"/>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row>
    <row r="95" ht="15.75" customHeight="1">
      <c r="C95" s="65"/>
      <c r="D95" s="65"/>
      <c r="F95" s="56"/>
      <c r="S95" s="56"/>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row>
    <row r="96" ht="15.75" customHeight="1">
      <c r="C96" s="65"/>
      <c r="D96" s="65"/>
      <c r="F96" s="56"/>
      <c r="S96" s="56"/>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row>
    <row r="97" ht="15.75" customHeight="1">
      <c r="C97" s="65"/>
      <c r="D97" s="65"/>
      <c r="F97" s="56"/>
      <c r="S97" s="56"/>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row>
    <row r="98" ht="15.75" customHeight="1">
      <c r="C98" s="65"/>
      <c r="D98" s="65"/>
      <c r="F98" s="56"/>
      <c r="S98" s="56"/>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row>
    <row r="99" ht="15.75" customHeight="1">
      <c r="C99" s="65"/>
      <c r="D99" s="65"/>
      <c r="F99" s="56"/>
      <c r="S99" s="56"/>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row>
    <row r="100" ht="15.75" customHeight="1">
      <c r="C100" s="65"/>
      <c r="D100" s="65"/>
      <c r="F100" s="56"/>
      <c r="S100" s="56"/>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row>
    <row r="101" ht="15.75" customHeight="1">
      <c r="C101" s="65"/>
      <c r="D101" s="65"/>
      <c r="F101" s="56"/>
      <c r="S101" s="56"/>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row>
    <row r="102" ht="15.75" customHeight="1">
      <c r="C102" s="65"/>
      <c r="D102" s="65"/>
      <c r="F102" s="56"/>
      <c r="S102" s="56"/>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row>
    <row r="103" ht="15.75" customHeight="1">
      <c r="C103" s="65"/>
      <c r="D103" s="65"/>
      <c r="F103" s="56"/>
      <c r="S103" s="56"/>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row>
    <row r="104" ht="15.75" customHeight="1">
      <c r="C104" s="65"/>
      <c r="D104" s="65"/>
      <c r="F104" s="56"/>
      <c r="S104" s="56"/>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row>
    <row r="105" ht="15.75" customHeight="1">
      <c r="C105" s="65"/>
      <c r="D105" s="65"/>
      <c r="F105" s="56"/>
      <c r="S105" s="56"/>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row>
    <row r="106" ht="15.75" customHeight="1">
      <c r="C106" s="65"/>
      <c r="D106" s="65"/>
      <c r="F106" s="56"/>
      <c r="S106" s="56"/>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row>
    <row r="107" ht="15.75" customHeight="1">
      <c r="C107" s="65"/>
      <c r="D107" s="65"/>
      <c r="F107" s="56"/>
      <c r="S107" s="56"/>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row>
    <row r="108" ht="15.75" customHeight="1">
      <c r="C108" s="65"/>
      <c r="D108" s="65"/>
      <c r="F108" s="56"/>
      <c r="S108" s="56"/>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row>
    <row r="109" ht="15.75" customHeight="1">
      <c r="C109" s="65"/>
      <c r="D109" s="65"/>
      <c r="F109" s="56"/>
      <c r="S109" s="56"/>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row>
    <row r="110" ht="15.75" customHeight="1">
      <c r="C110" s="65"/>
      <c r="D110" s="65"/>
      <c r="F110" s="56"/>
      <c r="S110" s="56"/>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row>
    <row r="111" ht="15.75" customHeight="1">
      <c r="C111" s="65"/>
      <c r="D111" s="65"/>
      <c r="F111" s="56"/>
      <c r="S111" s="56"/>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row>
    <row r="112" ht="15.75" customHeight="1">
      <c r="C112" s="65"/>
      <c r="D112" s="65"/>
      <c r="F112" s="56"/>
      <c r="S112" s="56"/>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row>
    <row r="113" ht="15.75" customHeight="1">
      <c r="C113" s="65"/>
      <c r="D113" s="65"/>
      <c r="F113" s="56"/>
      <c r="S113" s="56"/>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row>
    <row r="114" ht="15.75" customHeight="1">
      <c r="C114" s="65"/>
      <c r="D114" s="65"/>
      <c r="F114" s="56"/>
      <c r="S114" s="56"/>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row>
    <row r="115" ht="15.75" customHeight="1">
      <c r="C115" s="65"/>
      <c r="D115" s="65"/>
      <c r="F115" s="56"/>
      <c r="S115" s="56"/>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row>
    <row r="116" ht="15.75" customHeight="1">
      <c r="C116" s="65"/>
      <c r="D116" s="65"/>
      <c r="F116" s="56"/>
      <c r="S116" s="56"/>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row>
    <row r="117" ht="15.75" customHeight="1">
      <c r="C117" s="65"/>
      <c r="D117" s="65"/>
      <c r="F117" s="56"/>
      <c r="S117" s="56"/>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row>
    <row r="118" ht="15.75" customHeight="1">
      <c r="C118" s="65"/>
      <c r="D118" s="65"/>
      <c r="F118" s="56"/>
      <c r="S118" s="56"/>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row>
    <row r="119" ht="15.75" customHeight="1">
      <c r="C119" s="65"/>
      <c r="D119" s="65"/>
      <c r="F119" s="56"/>
      <c r="S119" s="56"/>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row>
    <row r="120" ht="15.75" customHeight="1">
      <c r="C120" s="65"/>
      <c r="D120" s="65"/>
      <c r="F120" s="56"/>
      <c r="S120" s="56"/>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row>
    <row r="121" ht="15.75" customHeight="1">
      <c r="C121" s="65"/>
      <c r="D121" s="65"/>
      <c r="F121" s="56"/>
      <c r="S121" s="56"/>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row>
    <row r="122" ht="15.75" customHeight="1">
      <c r="C122" s="65"/>
      <c r="D122" s="65"/>
      <c r="F122" s="56"/>
      <c r="S122" s="56"/>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row>
    <row r="123" ht="15.75" customHeight="1">
      <c r="C123" s="65"/>
      <c r="D123" s="65"/>
      <c r="F123" s="56"/>
      <c r="S123" s="56"/>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row>
    <row r="124" ht="15.75" customHeight="1">
      <c r="C124" s="65"/>
      <c r="D124" s="65"/>
      <c r="F124" s="56"/>
      <c r="S124" s="56"/>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row>
    <row r="125" ht="15.75" customHeight="1">
      <c r="C125" s="65"/>
      <c r="D125" s="65"/>
      <c r="F125" s="56"/>
      <c r="S125" s="56"/>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row>
    <row r="126" ht="15.75" customHeight="1">
      <c r="C126" s="65"/>
      <c r="D126" s="65"/>
      <c r="F126" s="56"/>
      <c r="S126" s="56"/>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row>
    <row r="127" ht="15.75" customHeight="1">
      <c r="C127" s="65"/>
      <c r="D127" s="65"/>
      <c r="F127" s="56"/>
      <c r="S127" s="56"/>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row>
    <row r="128" ht="15.75" customHeight="1">
      <c r="C128" s="65"/>
      <c r="D128" s="65"/>
      <c r="F128" s="56"/>
      <c r="S128" s="56"/>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row>
    <row r="129" ht="15.75" customHeight="1">
      <c r="C129" s="65"/>
      <c r="D129" s="65"/>
      <c r="F129" s="56"/>
      <c r="S129" s="56"/>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row>
    <row r="130" ht="15.75" customHeight="1">
      <c r="C130" s="65"/>
      <c r="D130" s="65"/>
      <c r="F130" s="56"/>
      <c r="S130" s="56"/>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row>
    <row r="131" ht="15.75" customHeight="1">
      <c r="C131" s="65"/>
      <c r="D131" s="65"/>
      <c r="F131" s="56"/>
      <c r="S131" s="56"/>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row>
    <row r="132" ht="15.75" customHeight="1">
      <c r="C132" s="65"/>
      <c r="D132" s="65"/>
      <c r="F132" s="56"/>
      <c r="S132" s="56"/>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row>
    <row r="133" ht="15.75" customHeight="1">
      <c r="C133" s="65"/>
      <c r="D133" s="65"/>
      <c r="F133" s="56"/>
      <c r="S133" s="56"/>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row>
    <row r="134" ht="15.75" customHeight="1">
      <c r="C134" s="65"/>
      <c r="D134" s="65"/>
      <c r="F134" s="56"/>
      <c r="S134" s="56"/>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row>
    <row r="135" ht="15.75" customHeight="1">
      <c r="C135" s="65"/>
      <c r="D135" s="65"/>
      <c r="F135" s="56"/>
      <c r="S135" s="56"/>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row>
    <row r="136" ht="15.75" customHeight="1">
      <c r="C136" s="65"/>
      <c r="D136" s="65"/>
      <c r="F136" s="56"/>
      <c r="S136" s="56"/>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row>
    <row r="137" ht="15.75" customHeight="1">
      <c r="C137" s="65"/>
      <c r="D137" s="65"/>
      <c r="F137" s="56"/>
      <c r="S137" s="56"/>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row>
    <row r="138" ht="15.75" customHeight="1">
      <c r="C138" s="65"/>
      <c r="D138" s="65"/>
      <c r="F138" s="56"/>
      <c r="S138" s="56"/>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row>
    <row r="139" ht="15.75" customHeight="1">
      <c r="C139" s="65"/>
      <c r="D139" s="65"/>
      <c r="F139" s="56"/>
      <c r="S139" s="56"/>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row>
    <row r="140" ht="15.75" customHeight="1">
      <c r="C140" s="65"/>
      <c r="D140" s="65"/>
      <c r="F140" s="56"/>
      <c r="S140" s="56"/>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row>
    <row r="141" ht="15.75" customHeight="1">
      <c r="C141" s="65"/>
      <c r="D141" s="65"/>
      <c r="F141" s="56"/>
      <c r="S141" s="56"/>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row>
    <row r="142" ht="15.75" customHeight="1">
      <c r="C142" s="65"/>
      <c r="D142" s="65"/>
      <c r="F142" s="56"/>
      <c r="S142" s="56"/>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row>
    <row r="143" ht="15.75" customHeight="1">
      <c r="C143" s="65"/>
      <c r="D143" s="65"/>
      <c r="F143" s="56"/>
      <c r="S143" s="56"/>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row>
    <row r="144" ht="15.75" customHeight="1">
      <c r="C144" s="65"/>
      <c r="D144" s="65"/>
      <c r="F144" s="56"/>
      <c r="S144" s="56"/>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row>
    <row r="145" ht="15.75" customHeight="1">
      <c r="C145" s="65"/>
      <c r="D145" s="65"/>
      <c r="F145" s="56"/>
      <c r="S145" s="56"/>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row>
    <row r="146" ht="15.75" customHeight="1">
      <c r="C146" s="65"/>
      <c r="D146" s="65"/>
      <c r="F146" s="56"/>
      <c r="S146" s="56"/>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row>
    <row r="147" ht="15.75" customHeight="1">
      <c r="C147" s="65"/>
      <c r="D147" s="65"/>
      <c r="F147" s="56"/>
      <c r="S147" s="56"/>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row>
    <row r="148" ht="15.75" customHeight="1">
      <c r="C148" s="65"/>
      <c r="D148" s="65"/>
      <c r="F148" s="56"/>
      <c r="S148" s="56"/>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row>
    <row r="149" ht="15.75" customHeight="1">
      <c r="C149" s="65"/>
      <c r="D149" s="65"/>
      <c r="F149" s="56"/>
      <c r="S149" s="56"/>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row>
    <row r="150" ht="15.75" customHeight="1">
      <c r="C150" s="65"/>
      <c r="D150" s="65"/>
      <c r="F150" s="56"/>
      <c r="S150" s="56"/>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row>
    <row r="151" ht="15.75" customHeight="1">
      <c r="C151" s="65"/>
      <c r="D151" s="65"/>
      <c r="F151" s="56"/>
      <c r="S151" s="56"/>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row>
    <row r="152" ht="15.75" customHeight="1">
      <c r="C152" s="65"/>
      <c r="D152" s="65"/>
      <c r="F152" s="56"/>
      <c r="S152" s="56"/>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row>
    <row r="153" ht="15.75" customHeight="1">
      <c r="C153" s="65"/>
      <c r="D153" s="65"/>
      <c r="F153" s="56"/>
      <c r="S153" s="56"/>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row>
    <row r="154" ht="15.75" customHeight="1">
      <c r="C154" s="65"/>
      <c r="D154" s="65"/>
      <c r="F154" s="56"/>
      <c r="S154" s="56"/>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row>
    <row r="155" ht="15.75" customHeight="1">
      <c r="C155" s="65"/>
      <c r="D155" s="65"/>
      <c r="F155" s="56"/>
      <c r="S155" s="56"/>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row>
    <row r="156" ht="15.75" customHeight="1">
      <c r="C156" s="65"/>
      <c r="D156" s="65"/>
      <c r="F156" s="56"/>
      <c r="S156" s="56"/>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row>
    <row r="157" ht="15.75" customHeight="1">
      <c r="C157" s="65"/>
      <c r="D157" s="65"/>
      <c r="F157" s="56"/>
      <c r="S157" s="56"/>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row>
    <row r="158" ht="15.75" customHeight="1">
      <c r="C158" s="65"/>
      <c r="D158" s="65"/>
      <c r="F158" s="56"/>
      <c r="S158" s="56"/>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row>
    <row r="159" ht="15.75" customHeight="1">
      <c r="C159" s="65"/>
      <c r="D159" s="65"/>
      <c r="F159" s="56"/>
      <c r="S159" s="56"/>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row>
    <row r="160" ht="15.75" customHeight="1">
      <c r="C160" s="65"/>
      <c r="D160" s="65"/>
      <c r="F160" s="56"/>
      <c r="S160" s="56"/>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row>
    <row r="161" ht="15.75" customHeight="1">
      <c r="C161" s="65"/>
      <c r="D161" s="65"/>
      <c r="F161" s="56"/>
      <c r="S161" s="56"/>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row>
    <row r="162" ht="15.75" customHeight="1">
      <c r="C162" s="65"/>
      <c r="D162" s="65"/>
      <c r="F162" s="56"/>
      <c r="S162" s="56"/>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row>
    <row r="163" ht="15.75" customHeight="1">
      <c r="C163" s="65"/>
      <c r="D163" s="65"/>
      <c r="F163" s="56"/>
      <c r="S163" s="56"/>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row>
    <row r="164" ht="15.75" customHeight="1">
      <c r="C164" s="65"/>
      <c r="D164" s="65"/>
      <c r="F164" s="56"/>
      <c r="S164" s="56"/>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row>
    <row r="165" ht="15.75" customHeight="1">
      <c r="C165" s="65"/>
      <c r="D165" s="65"/>
      <c r="F165" s="56"/>
      <c r="S165" s="56"/>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row>
    <row r="166" ht="15.75" customHeight="1">
      <c r="C166" s="65"/>
      <c r="D166" s="65"/>
      <c r="F166" s="56"/>
      <c r="S166" s="56"/>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row>
    <row r="167" ht="15.75" customHeight="1">
      <c r="C167" s="65"/>
      <c r="D167" s="65"/>
      <c r="F167" s="56"/>
      <c r="S167" s="56"/>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row>
    <row r="168" ht="15.75" customHeight="1">
      <c r="C168" s="65"/>
      <c r="D168" s="65"/>
      <c r="F168" s="56"/>
      <c r="S168" s="56"/>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row>
    <row r="169" ht="15.75" customHeight="1">
      <c r="C169" s="65"/>
      <c r="D169" s="65"/>
      <c r="F169" s="56"/>
      <c r="S169" s="56"/>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row>
    <row r="170" ht="15.75" customHeight="1">
      <c r="C170" s="65"/>
      <c r="D170" s="65"/>
      <c r="F170" s="56"/>
      <c r="S170" s="56"/>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row>
    <row r="171" ht="15.75" customHeight="1">
      <c r="C171" s="65"/>
      <c r="D171" s="65"/>
      <c r="F171" s="56"/>
      <c r="S171" s="56"/>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row>
    <row r="172" ht="15.75" customHeight="1">
      <c r="C172" s="65"/>
      <c r="D172" s="65"/>
      <c r="F172" s="56"/>
      <c r="S172" s="56"/>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row>
    <row r="173" ht="15.75" customHeight="1">
      <c r="C173" s="65"/>
      <c r="D173" s="65"/>
      <c r="F173" s="56"/>
      <c r="S173" s="56"/>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row>
    <row r="174" ht="15.75" customHeight="1">
      <c r="C174" s="65"/>
      <c r="D174" s="65"/>
      <c r="F174" s="56"/>
      <c r="S174" s="56"/>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row>
    <row r="175" ht="15.75" customHeight="1">
      <c r="C175" s="65"/>
      <c r="D175" s="65"/>
      <c r="F175" s="56"/>
      <c r="S175" s="56"/>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row>
    <row r="176" ht="15.75" customHeight="1">
      <c r="C176" s="65"/>
      <c r="D176" s="65"/>
      <c r="F176" s="56"/>
      <c r="S176" s="56"/>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row>
    <row r="177" ht="15.75" customHeight="1">
      <c r="C177" s="65"/>
      <c r="D177" s="65"/>
      <c r="F177" s="56"/>
      <c r="S177" s="56"/>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row>
    <row r="178" ht="15.75" customHeight="1">
      <c r="C178" s="65"/>
      <c r="D178" s="65"/>
      <c r="F178" s="56"/>
      <c r="S178" s="56"/>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row>
    <row r="179" ht="15.75" customHeight="1">
      <c r="C179" s="65"/>
      <c r="D179" s="65"/>
      <c r="F179" s="56"/>
      <c r="S179" s="56"/>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row>
    <row r="180" ht="15.75" customHeight="1">
      <c r="C180" s="65"/>
      <c r="D180" s="65"/>
      <c r="F180" s="56"/>
      <c r="S180" s="56"/>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row>
    <row r="181" ht="15.75" customHeight="1">
      <c r="C181" s="65"/>
      <c r="D181" s="65"/>
      <c r="F181" s="56"/>
      <c r="S181" s="56"/>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row>
    <row r="182" ht="15.75" customHeight="1">
      <c r="C182" s="65"/>
      <c r="D182" s="65"/>
      <c r="F182" s="56"/>
      <c r="S182" s="56"/>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row>
    <row r="183" ht="15.75" customHeight="1">
      <c r="C183" s="65"/>
      <c r="D183" s="65"/>
      <c r="F183" s="56"/>
      <c r="S183" s="56"/>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row>
    <row r="184" ht="15.75" customHeight="1">
      <c r="C184" s="65"/>
      <c r="D184" s="65"/>
      <c r="F184" s="56"/>
      <c r="S184" s="56"/>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row>
    <row r="185" ht="15.75" customHeight="1">
      <c r="C185" s="65"/>
      <c r="D185" s="65"/>
      <c r="F185" s="56"/>
      <c r="S185" s="56"/>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row>
    <row r="186" ht="15.75" customHeight="1">
      <c r="C186" s="65"/>
      <c r="D186" s="65"/>
      <c r="F186" s="56"/>
      <c r="S186" s="56"/>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row>
    <row r="187" ht="15.75" customHeight="1">
      <c r="C187" s="65"/>
      <c r="D187" s="65"/>
      <c r="F187" s="56"/>
      <c r="S187" s="56"/>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row>
    <row r="188" ht="15.75" customHeight="1">
      <c r="C188" s="65"/>
      <c r="D188" s="65"/>
      <c r="F188" s="56"/>
      <c r="S188" s="56"/>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row>
    <row r="189" ht="15.75" customHeight="1">
      <c r="C189" s="65"/>
      <c r="D189" s="65"/>
      <c r="F189" s="56"/>
      <c r="S189" s="56"/>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row>
    <row r="190" ht="15.75" customHeight="1">
      <c r="C190" s="65"/>
      <c r="D190" s="65"/>
      <c r="F190" s="56"/>
      <c r="S190" s="56"/>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row>
    <row r="191" ht="15.75" customHeight="1">
      <c r="C191" s="65"/>
      <c r="D191" s="65"/>
      <c r="F191" s="56"/>
      <c r="S191" s="56"/>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row>
    <row r="192" ht="15.75" customHeight="1">
      <c r="C192" s="65"/>
      <c r="D192" s="65"/>
      <c r="F192" s="56"/>
      <c r="S192" s="56"/>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row>
    <row r="193" ht="15.75" customHeight="1">
      <c r="C193" s="65"/>
      <c r="D193" s="65"/>
      <c r="F193" s="56"/>
      <c r="S193" s="56"/>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row>
    <row r="194" ht="15.75" customHeight="1">
      <c r="C194" s="65"/>
      <c r="D194" s="65"/>
      <c r="F194" s="56"/>
      <c r="S194" s="56"/>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row>
    <row r="195" ht="15.75" customHeight="1">
      <c r="C195" s="65"/>
      <c r="D195" s="65"/>
      <c r="F195" s="56"/>
      <c r="S195" s="56"/>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row>
    <row r="196" ht="15.75" customHeight="1">
      <c r="C196" s="65"/>
      <c r="D196" s="65"/>
      <c r="F196" s="56"/>
      <c r="S196" s="56"/>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row>
    <row r="197" ht="15.75" customHeight="1">
      <c r="C197" s="65"/>
      <c r="D197" s="65"/>
      <c r="F197" s="56"/>
      <c r="S197" s="56"/>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row>
    <row r="198" ht="15.75" customHeight="1">
      <c r="C198" s="65"/>
      <c r="D198" s="65"/>
      <c r="F198" s="56"/>
      <c r="S198" s="56"/>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row>
    <row r="199" ht="15.75" customHeight="1">
      <c r="C199" s="65"/>
      <c r="D199" s="65"/>
      <c r="F199" s="56"/>
      <c r="S199" s="56"/>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row>
    <row r="200" ht="15.75" customHeight="1">
      <c r="C200" s="65"/>
      <c r="D200" s="65"/>
      <c r="F200" s="56"/>
      <c r="S200" s="56"/>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row>
    <row r="201" ht="15.75" customHeight="1">
      <c r="C201" s="65"/>
      <c r="D201" s="65"/>
      <c r="F201" s="56"/>
      <c r="S201" s="56"/>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row>
    <row r="202" ht="15.75" customHeight="1">
      <c r="C202" s="65"/>
      <c r="D202" s="65"/>
      <c r="F202" s="56"/>
      <c r="S202" s="56"/>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row>
    <row r="203" ht="15.75" customHeight="1">
      <c r="C203" s="65"/>
      <c r="D203" s="65"/>
      <c r="F203" s="56"/>
      <c r="S203" s="56"/>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row>
    <row r="204" ht="15.75" customHeight="1">
      <c r="C204" s="65"/>
      <c r="D204" s="65"/>
      <c r="F204" s="56"/>
      <c r="S204" s="56"/>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row>
    <row r="205" ht="15.75" customHeight="1">
      <c r="C205" s="65"/>
      <c r="D205" s="65"/>
      <c r="F205" s="56"/>
      <c r="S205" s="56"/>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row>
    <row r="206" ht="15.75" customHeight="1">
      <c r="C206" s="65"/>
      <c r="D206" s="65"/>
      <c r="F206" s="56"/>
      <c r="S206" s="56"/>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row>
    <row r="207" ht="15.75" customHeight="1">
      <c r="C207" s="65"/>
      <c r="D207" s="65"/>
      <c r="F207" s="56"/>
      <c r="S207" s="56"/>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row>
    <row r="208" ht="15.75" customHeight="1">
      <c r="C208" s="65"/>
      <c r="D208" s="65"/>
      <c r="F208" s="56"/>
      <c r="S208" s="56"/>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row>
    <row r="209" ht="15.75" customHeight="1">
      <c r="C209" s="65"/>
      <c r="D209" s="65"/>
      <c r="F209" s="56"/>
      <c r="S209" s="56"/>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row>
    <row r="210" ht="15.75" customHeight="1">
      <c r="C210" s="65"/>
      <c r="D210" s="65"/>
      <c r="F210" s="56"/>
      <c r="S210" s="56"/>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row>
    <row r="211" ht="15.75" customHeight="1">
      <c r="C211" s="65"/>
      <c r="D211" s="65"/>
      <c r="F211" s="56"/>
      <c r="S211" s="56"/>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row>
    <row r="212" ht="15.75" customHeight="1">
      <c r="C212" s="65"/>
      <c r="D212" s="65"/>
      <c r="F212" s="56"/>
      <c r="S212" s="56"/>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row>
    <row r="213" ht="15.75" customHeight="1">
      <c r="C213" s="65"/>
      <c r="D213" s="65"/>
      <c r="F213" s="56"/>
      <c r="S213" s="56"/>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row>
    <row r="214" ht="15.75" customHeight="1">
      <c r="C214" s="65"/>
      <c r="D214" s="65"/>
      <c r="F214" s="56"/>
      <c r="S214" s="56"/>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row>
    <row r="215" ht="15.75" customHeight="1">
      <c r="C215" s="65"/>
      <c r="D215" s="65"/>
      <c r="F215" s="56"/>
      <c r="S215" s="56"/>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row>
    <row r="216" ht="15.75" customHeight="1">
      <c r="C216" s="65"/>
      <c r="D216" s="65"/>
      <c r="F216" s="56"/>
      <c r="S216" s="56"/>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row>
    <row r="217" ht="15.75" customHeight="1">
      <c r="C217" s="65"/>
      <c r="D217" s="65"/>
      <c r="F217" s="56"/>
      <c r="S217" s="56"/>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row>
    <row r="218" ht="15.75" customHeight="1">
      <c r="C218" s="65"/>
      <c r="D218" s="65"/>
      <c r="F218" s="56"/>
      <c r="S218" s="56"/>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row>
    <row r="219" ht="15.75" customHeight="1">
      <c r="C219" s="65"/>
      <c r="D219" s="65"/>
      <c r="F219" s="56"/>
      <c r="S219" s="56"/>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row>
    <row r="220" ht="15.75" customHeight="1">
      <c r="C220" s="65"/>
      <c r="D220" s="65"/>
      <c r="F220" s="56"/>
      <c r="S220" s="56"/>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row>
    <row r="221" ht="15.75" customHeight="1">
      <c r="C221" s="65"/>
      <c r="D221" s="65"/>
      <c r="F221" s="56"/>
      <c r="S221" s="56"/>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row>
    <row r="222" ht="15.75" customHeight="1">
      <c r="C222" s="65"/>
      <c r="D222" s="65"/>
      <c r="F222" s="56"/>
      <c r="S222" s="56"/>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row>
    <row r="223" ht="15.75" customHeight="1">
      <c r="C223" s="65"/>
      <c r="D223" s="65"/>
      <c r="F223" s="56"/>
      <c r="S223" s="56"/>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row>
    <row r="224" ht="15.75" customHeight="1">
      <c r="C224" s="65"/>
      <c r="D224" s="65"/>
      <c r="F224" s="56"/>
      <c r="S224" s="56"/>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row>
    <row r="225" ht="15.75" customHeight="1">
      <c r="C225" s="65"/>
      <c r="D225" s="65"/>
      <c r="F225" s="56"/>
      <c r="S225" s="56"/>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row>
    <row r="226" ht="15.75" customHeight="1">
      <c r="C226" s="65"/>
      <c r="D226" s="65"/>
      <c r="F226" s="56"/>
      <c r="S226" s="56"/>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row>
    <row r="227" ht="15.75" customHeight="1">
      <c r="C227" s="65"/>
      <c r="D227" s="65"/>
      <c r="F227" s="56"/>
      <c r="S227" s="56"/>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row>
    <row r="228" ht="15.75" customHeight="1">
      <c r="C228" s="65"/>
      <c r="D228" s="65"/>
      <c r="F228" s="56"/>
      <c r="S228" s="56"/>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row>
    <row r="229" ht="15.75" customHeight="1">
      <c r="C229" s="65"/>
      <c r="D229" s="65"/>
      <c r="F229" s="56"/>
      <c r="S229" s="56"/>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row>
    <row r="230" ht="15.75" customHeight="1">
      <c r="C230" s="65"/>
      <c r="D230" s="65"/>
      <c r="F230" s="56"/>
      <c r="S230" s="56"/>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row>
    <row r="231" ht="15.75" customHeight="1">
      <c r="C231" s="65"/>
      <c r="D231" s="65"/>
      <c r="F231" s="56"/>
      <c r="S231" s="56"/>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row>
    <row r="232" ht="15.75" customHeight="1">
      <c r="C232" s="65"/>
      <c r="D232" s="65"/>
      <c r="F232" s="56"/>
      <c r="S232" s="56"/>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row>
    <row r="233" ht="15.75" customHeight="1">
      <c r="C233" s="65"/>
      <c r="D233" s="65"/>
      <c r="F233" s="56"/>
      <c r="S233" s="56"/>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row>
    <row r="234" ht="15.75" customHeight="1">
      <c r="C234" s="65"/>
      <c r="D234" s="65"/>
      <c r="F234" s="56"/>
      <c r="S234" s="56"/>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row>
    <row r="235" ht="15.75" customHeight="1">
      <c r="C235" s="65"/>
      <c r="D235" s="65"/>
      <c r="F235" s="56"/>
      <c r="S235" s="56"/>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row>
    <row r="236" ht="15.75" customHeight="1">
      <c r="C236" s="65"/>
      <c r="D236" s="65"/>
      <c r="F236" s="56"/>
      <c r="S236" s="56"/>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row>
    <row r="237" ht="15.75" customHeight="1">
      <c r="C237" s="65"/>
      <c r="D237" s="65"/>
      <c r="F237" s="56"/>
      <c r="S237" s="56"/>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row>
    <row r="238" ht="15.75" customHeight="1">
      <c r="C238" s="65"/>
      <c r="D238" s="65"/>
      <c r="F238" s="56"/>
      <c r="S238" s="56"/>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row>
    <row r="239" ht="15.75" customHeight="1">
      <c r="C239" s="65"/>
      <c r="D239" s="65"/>
      <c r="F239" s="56"/>
      <c r="S239" s="56"/>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row>
    <row r="240" ht="15.75" customHeight="1">
      <c r="C240" s="65"/>
      <c r="D240" s="65"/>
      <c r="F240" s="56"/>
      <c r="S240" s="56"/>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row>
    <row r="241" ht="15.75" customHeight="1">
      <c r="C241" s="65"/>
      <c r="D241" s="65"/>
      <c r="F241" s="56"/>
      <c r="S241" s="56"/>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row>
    <row r="242" ht="15.75" customHeight="1">
      <c r="C242" s="65"/>
      <c r="D242" s="65"/>
      <c r="F242" s="56"/>
      <c r="S242" s="56"/>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row>
    <row r="243" ht="15.75" customHeight="1">
      <c r="C243" s="65"/>
      <c r="D243" s="65"/>
      <c r="F243" s="56"/>
      <c r="S243" s="56"/>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row>
    <row r="244" ht="15.75" customHeight="1">
      <c r="C244" s="65"/>
      <c r="D244" s="65"/>
      <c r="F244" s="56"/>
      <c r="S244" s="56"/>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row>
    <row r="245" ht="15.75" customHeight="1">
      <c r="C245" s="65"/>
      <c r="D245" s="65"/>
      <c r="F245" s="56"/>
      <c r="S245" s="56"/>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row>
    <row r="246" ht="15.75" customHeight="1">
      <c r="C246" s="65"/>
      <c r="D246" s="65"/>
      <c r="F246" s="56"/>
      <c r="S246" s="56"/>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row>
    <row r="247" ht="15.75" customHeight="1">
      <c r="C247" s="65"/>
      <c r="D247" s="65"/>
      <c r="F247" s="56"/>
      <c r="S247" s="56"/>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row>
    <row r="248" ht="15.75" customHeight="1">
      <c r="C248" s="65"/>
      <c r="D248" s="65"/>
      <c r="F248" s="56"/>
      <c r="S248" s="56"/>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row>
    <row r="249" ht="15.75" customHeight="1">
      <c r="C249" s="65"/>
      <c r="D249" s="65"/>
      <c r="F249" s="56"/>
      <c r="S249" s="56"/>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row>
    <row r="250" ht="15.75" customHeight="1">
      <c r="C250" s="65"/>
      <c r="D250" s="65"/>
      <c r="F250" s="56"/>
      <c r="S250" s="56"/>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row>
    <row r="251" ht="15.75" customHeight="1">
      <c r="C251" s="65"/>
      <c r="D251" s="65"/>
      <c r="F251" s="56"/>
      <c r="S251" s="56"/>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row>
  </sheetData>
  <autoFilter ref="$A$1:$BO$51"/>
  <conditionalFormatting sqref="A50:E50 T50:BO50">
    <cfRule type="notContainsBlanks" dxfId="0" priority="1">
      <formula>LEN(TRIM(A50))&gt;0</formula>
    </cfRule>
  </conditionalFormatting>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20.29"/>
    <col customWidth="1" min="3" max="3" width="90.0"/>
    <col customWidth="1" min="4" max="4" width="45.0"/>
    <col customWidth="1" min="5" max="11" width="8.71"/>
  </cols>
  <sheetData>
    <row r="1" ht="13.5" customHeight="1">
      <c r="A1" s="81" t="s">
        <v>265</v>
      </c>
      <c r="B1" s="82" t="s">
        <v>2</v>
      </c>
      <c r="C1" s="82" t="s">
        <v>266</v>
      </c>
      <c r="D1" s="82" t="s">
        <v>227</v>
      </c>
      <c r="E1" s="83"/>
      <c r="F1" s="83"/>
      <c r="G1" s="83"/>
      <c r="H1" s="83"/>
      <c r="I1" s="83"/>
      <c r="J1" s="83"/>
      <c r="K1" s="83"/>
    </row>
    <row r="2" ht="252.0" customHeight="1">
      <c r="A2" s="84">
        <v>1.0</v>
      </c>
      <c r="B2" s="85" t="s">
        <v>56</v>
      </c>
      <c r="C2" s="86" t="s">
        <v>267</v>
      </c>
      <c r="D2" s="87" t="s">
        <v>268</v>
      </c>
      <c r="E2" s="83"/>
      <c r="F2" s="83"/>
      <c r="G2" s="83"/>
      <c r="H2" s="83"/>
      <c r="I2" s="83"/>
      <c r="J2" s="83"/>
      <c r="K2" s="83"/>
    </row>
    <row r="3" ht="409.5" customHeight="1">
      <c r="A3" s="84">
        <v>2.0</v>
      </c>
      <c r="B3" s="88" t="s">
        <v>269</v>
      </c>
      <c r="C3" s="86" t="s">
        <v>270</v>
      </c>
      <c r="D3" s="87" t="s">
        <v>271</v>
      </c>
      <c r="E3" s="83"/>
      <c r="F3" s="83"/>
      <c r="G3" s="83"/>
      <c r="H3" s="83"/>
      <c r="I3" s="83"/>
      <c r="J3" s="83"/>
      <c r="K3" s="83"/>
    </row>
    <row r="4" ht="409.5" customHeight="1">
      <c r="A4" s="84">
        <v>3.0</v>
      </c>
      <c r="B4" s="85" t="s">
        <v>74</v>
      </c>
      <c r="C4" s="86" t="s">
        <v>272</v>
      </c>
      <c r="D4" s="87" t="s">
        <v>273</v>
      </c>
      <c r="E4" s="83"/>
      <c r="F4" s="83"/>
      <c r="G4" s="83"/>
      <c r="H4" s="83"/>
      <c r="I4" s="83"/>
      <c r="J4" s="83"/>
      <c r="K4" s="83"/>
    </row>
    <row r="5" ht="409.5" customHeight="1">
      <c r="A5" s="84">
        <v>4.0</v>
      </c>
      <c r="B5" s="85" t="s">
        <v>135</v>
      </c>
      <c r="C5" s="86" t="s">
        <v>274</v>
      </c>
      <c r="D5" s="87" t="s">
        <v>271</v>
      </c>
      <c r="E5" s="83"/>
      <c r="F5" s="83"/>
      <c r="G5" s="83"/>
      <c r="H5" s="83"/>
      <c r="I5" s="83"/>
      <c r="J5" s="83"/>
      <c r="K5" s="83"/>
    </row>
    <row r="6" ht="265.5" customHeight="1">
      <c r="A6" s="84">
        <v>5.0</v>
      </c>
      <c r="B6" s="85" t="s">
        <v>275</v>
      </c>
      <c r="C6" s="86" t="s">
        <v>276</v>
      </c>
      <c r="D6" s="87" t="s">
        <v>277</v>
      </c>
      <c r="E6" s="83"/>
      <c r="F6" s="83"/>
      <c r="G6" s="83"/>
      <c r="H6" s="83"/>
      <c r="I6" s="83"/>
      <c r="J6" s="83"/>
      <c r="K6" s="83"/>
    </row>
    <row r="7" ht="13.5" customHeight="1">
      <c r="A7" s="83"/>
      <c r="B7" s="83"/>
      <c r="C7" s="83"/>
      <c r="D7" s="83"/>
      <c r="E7" s="83"/>
      <c r="F7" s="83"/>
      <c r="G7" s="83"/>
      <c r="H7" s="83"/>
      <c r="I7" s="83"/>
      <c r="J7" s="83"/>
      <c r="K7" s="83"/>
    </row>
    <row r="8" ht="13.5" customHeight="1">
      <c r="A8" s="83"/>
      <c r="B8" s="83"/>
      <c r="C8" s="83"/>
      <c r="D8" s="83"/>
      <c r="E8" s="83"/>
      <c r="F8" s="83"/>
      <c r="G8" s="83"/>
      <c r="H8" s="83"/>
      <c r="I8" s="83"/>
      <c r="J8" s="83"/>
      <c r="K8" s="83"/>
    </row>
    <row r="9" ht="13.5" customHeight="1">
      <c r="A9" s="83"/>
      <c r="B9" s="83"/>
      <c r="C9" s="83"/>
      <c r="D9" s="83"/>
      <c r="E9" s="83"/>
      <c r="F9" s="83"/>
      <c r="G9" s="83"/>
      <c r="H9" s="83"/>
      <c r="I9" s="83"/>
      <c r="J9" s="83"/>
      <c r="K9" s="83"/>
    </row>
    <row r="10" ht="13.5" customHeight="1">
      <c r="A10" s="83"/>
      <c r="B10" s="83"/>
      <c r="C10" s="83"/>
      <c r="D10" s="83"/>
      <c r="E10" s="83"/>
      <c r="F10" s="83"/>
      <c r="G10" s="83"/>
      <c r="H10" s="83"/>
      <c r="I10" s="83"/>
      <c r="J10" s="83"/>
      <c r="K10" s="83"/>
    </row>
    <row r="11" ht="13.5" customHeight="1">
      <c r="A11" s="83"/>
      <c r="B11" s="83"/>
      <c r="C11" s="83"/>
      <c r="D11" s="83"/>
      <c r="E11" s="83"/>
      <c r="F11" s="83"/>
      <c r="G11" s="83"/>
      <c r="H11" s="83"/>
      <c r="I11" s="83"/>
      <c r="J11" s="83"/>
      <c r="K11" s="83"/>
    </row>
    <row r="12" ht="13.5" customHeight="1">
      <c r="A12" s="83"/>
      <c r="B12" s="83"/>
      <c r="C12" s="83"/>
      <c r="D12" s="83"/>
      <c r="E12" s="83"/>
      <c r="F12" s="83"/>
      <c r="G12" s="83"/>
      <c r="H12" s="83"/>
      <c r="I12" s="83"/>
      <c r="J12" s="83"/>
      <c r="K12" s="83"/>
    </row>
    <row r="13" ht="13.5" customHeight="1">
      <c r="A13" s="83"/>
      <c r="B13" s="83"/>
      <c r="C13" s="83"/>
      <c r="D13" s="83"/>
      <c r="E13" s="83"/>
      <c r="F13" s="83"/>
      <c r="G13" s="83"/>
      <c r="H13" s="83"/>
      <c r="I13" s="83"/>
      <c r="J13" s="83"/>
      <c r="K13" s="83"/>
    </row>
    <row r="14" ht="13.5" customHeight="1">
      <c r="A14" s="83"/>
      <c r="B14" s="83"/>
      <c r="C14" s="83"/>
      <c r="D14" s="83"/>
      <c r="E14" s="83"/>
      <c r="F14" s="83"/>
      <c r="G14" s="83"/>
      <c r="H14" s="83"/>
      <c r="I14" s="83"/>
      <c r="J14" s="83"/>
      <c r="K14" s="83"/>
    </row>
    <row r="15" ht="13.5" customHeight="1">
      <c r="A15" s="83"/>
      <c r="B15" s="83"/>
      <c r="C15" s="83"/>
      <c r="D15" s="83"/>
      <c r="E15" s="83"/>
      <c r="F15" s="83"/>
      <c r="G15" s="83"/>
      <c r="H15" s="83"/>
      <c r="I15" s="83"/>
      <c r="J15" s="83"/>
      <c r="K15" s="83"/>
    </row>
    <row r="16" ht="13.5" customHeight="1">
      <c r="A16" s="83"/>
      <c r="B16" s="83"/>
      <c r="C16" s="83"/>
      <c r="D16" s="83"/>
      <c r="E16" s="83"/>
      <c r="F16" s="83"/>
      <c r="G16" s="83"/>
      <c r="H16" s="83"/>
      <c r="I16" s="83"/>
      <c r="J16" s="83"/>
      <c r="K16" s="83"/>
    </row>
    <row r="17" ht="13.5" customHeight="1">
      <c r="A17" s="83"/>
      <c r="B17" s="83"/>
      <c r="C17" s="83"/>
      <c r="D17" s="83"/>
      <c r="E17" s="83"/>
      <c r="F17" s="83"/>
      <c r="G17" s="83"/>
      <c r="H17" s="83"/>
      <c r="I17" s="83"/>
      <c r="J17" s="83"/>
      <c r="K17" s="83"/>
    </row>
    <row r="18" ht="13.5" customHeight="1">
      <c r="A18" s="83"/>
      <c r="B18" s="83"/>
      <c r="C18" s="83"/>
      <c r="D18" s="83"/>
      <c r="E18" s="83"/>
      <c r="F18" s="83"/>
      <c r="G18" s="83"/>
      <c r="H18" s="83"/>
      <c r="I18" s="83"/>
      <c r="J18" s="83"/>
      <c r="K18" s="83"/>
    </row>
    <row r="19" ht="13.5" customHeight="1">
      <c r="A19" s="83"/>
      <c r="B19" s="83"/>
      <c r="C19" s="83"/>
      <c r="D19" s="83"/>
      <c r="E19" s="83"/>
      <c r="F19" s="83"/>
      <c r="G19" s="83"/>
      <c r="H19" s="83"/>
      <c r="I19" s="83"/>
      <c r="J19" s="83"/>
      <c r="K19" s="83"/>
    </row>
    <row r="20" ht="13.5" customHeight="1">
      <c r="A20" s="83"/>
      <c r="B20" s="83"/>
      <c r="C20" s="83"/>
      <c r="D20" s="83"/>
      <c r="E20" s="83"/>
      <c r="F20" s="83"/>
      <c r="G20" s="83"/>
      <c r="H20" s="83"/>
      <c r="I20" s="83"/>
      <c r="J20" s="83"/>
      <c r="K20" s="83"/>
    </row>
    <row r="21" ht="13.5" customHeight="1">
      <c r="A21" s="83"/>
      <c r="B21" s="83"/>
      <c r="C21" s="83"/>
      <c r="D21" s="83"/>
      <c r="E21" s="83"/>
      <c r="F21" s="83"/>
      <c r="G21" s="83"/>
      <c r="H21" s="83"/>
      <c r="I21" s="83"/>
      <c r="J21" s="83"/>
      <c r="K21" s="83"/>
    </row>
    <row r="22" ht="13.5" customHeight="1">
      <c r="A22" s="83"/>
      <c r="B22" s="83"/>
      <c r="C22" s="83"/>
      <c r="D22" s="83"/>
      <c r="E22" s="83"/>
      <c r="F22" s="83"/>
      <c r="G22" s="83"/>
      <c r="H22" s="83"/>
      <c r="I22" s="83"/>
      <c r="J22" s="83"/>
      <c r="K22" s="83"/>
    </row>
    <row r="23" ht="13.5" customHeight="1">
      <c r="A23" s="83"/>
      <c r="B23" s="83"/>
      <c r="C23" s="83"/>
      <c r="D23" s="83"/>
      <c r="E23" s="83"/>
      <c r="F23" s="83"/>
      <c r="G23" s="83"/>
      <c r="H23" s="83"/>
      <c r="I23" s="83"/>
      <c r="J23" s="83"/>
      <c r="K23" s="83"/>
    </row>
    <row r="24" ht="13.5" customHeight="1">
      <c r="A24" s="83"/>
      <c r="B24" s="83"/>
      <c r="C24" s="83"/>
      <c r="D24" s="83"/>
      <c r="E24" s="83"/>
      <c r="F24" s="83"/>
      <c r="G24" s="83"/>
      <c r="H24" s="83"/>
      <c r="I24" s="83"/>
      <c r="J24" s="83"/>
      <c r="K24" s="83"/>
    </row>
    <row r="25" ht="13.5" customHeight="1">
      <c r="A25" s="83"/>
      <c r="B25" s="83"/>
      <c r="C25" s="83"/>
      <c r="D25" s="83"/>
      <c r="E25" s="83"/>
      <c r="F25" s="83"/>
      <c r="G25" s="83"/>
      <c r="H25" s="83"/>
      <c r="I25" s="83"/>
      <c r="J25" s="83"/>
      <c r="K25" s="83"/>
    </row>
    <row r="26" ht="13.5" customHeight="1">
      <c r="A26" s="83"/>
      <c r="B26" s="83"/>
      <c r="C26" s="83"/>
      <c r="D26" s="83"/>
      <c r="E26" s="83"/>
      <c r="F26" s="83"/>
      <c r="G26" s="83"/>
      <c r="H26" s="83"/>
      <c r="I26" s="83"/>
      <c r="J26" s="83"/>
      <c r="K26" s="83"/>
    </row>
    <row r="27" ht="13.5" customHeight="1">
      <c r="A27" s="83"/>
      <c r="B27" s="83"/>
      <c r="C27" s="83"/>
      <c r="D27" s="83"/>
      <c r="E27" s="83"/>
      <c r="F27" s="83"/>
      <c r="G27" s="83"/>
      <c r="H27" s="83"/>
      <c r="I27" s="83"/>
      <c r="J27" s="83"/>
      <c r="K27" s="83"/>
    </row>
    <row r="28" ht="13.5" customHeight="1">
      <c r="A28" s="83"/>
      <c r="B28" s="83"/>
      <c r="C28" s="83"/>
      <c r="D28" s="83"/>
      <c r="E28" s="83"/>
      <c r="F28" s="83"/>
      <c r="G28" s="83"/>
      <c r="H28" s="83"/>
      <c r="I28" s="83"/>
      <c r="J28" s="83"/>
      <c r="K28" s="83"/>
    </row>
    <row r="29" ht="13.5" customHeight="1">
      <c r="A29" s="83"/>
      <c r="B29" s="83"/>
      <c r="C29" s="83"/>
      <c r="D29" s="83"/>
      <c r="E29" s="83"/>
      <c r="F29" s="83"/>
      <c r="G29" s="83"/>
      <c r="H29" s="83"/>
      <c r="I29" s="83"/>
      <c r="J29" s="83"/>
      <c r="K29" s="83"/>
    </row>
    <row r="30" ht="13.5" customHeight="1">
      <c r="A30" s="83"/>
      <c r="B30" s="83"/>
      <c r="C30" s="83"/>
      <c r="D30" s="83"/>
      <c r="E30" s="83"/>
      <c r="F30" s="83"/>
      <c r="G30" s="83"/>
      <c r="H30" s="83"/>
      <c r="I30" s="83"/>
      <c r="J30" s="83"/>
      <c r="K30" s="83"/>
    </row>
    <row r="31" ht="13.5" customHeight="1">
      <c r="A31" s="83"/>
      <c r="B31" s="83"/>
      <c r="C31" s="83"/>
      <c r="D31" s="83"/>
      <c r="E31" s="83"/>
      <c r="F31" s="83"/>
      <c r="G31" s="83"/>
      <c r="H31" s="83"/>
      <c r="I31" s="83"/>
      <c r="J31" s="83"/>
      <c r="K31" s="83"/>
    </row>
    <row r="32" ht="13.5" customHeight="1">
      <c r="A32" s="83"/>
      <c r="B32" s="83"/>
      <c r="C32" s="83"/>
      <c r="D32" s="83"/>
      <c r="E32" s="83"/>
      <c r="F32" s="83"/>
      <c r="G32" s="83"/>
      <c r="H32" s="83"/>
      <c r="I32" s="83"/>
      <c r="J32" s="83"/>
      <c r="K32" s="83"/>
    </row>
    <row r="33" ht="13.5" customHeight="1">
      <c r="A33" s="83"/>
      <c r="B33" s="83"/>
      <c r="C33" s="83"/>
      <c r="D33" s="83"/>
      <c r="E33" s="83"/>
      <c r="F33" s="83"/>
      <c r="G33" s="83"/>
      <c r="H33" s="83"/>
      <c r="I33" s="83"/>
      <c r="J33" s="83"/>
      <c r="K33" s="83"/>
    </row>
    <row r="34" ht="13.5" customHeight="1">
      <c r="A34" s="83"/>
      <c r="B34" s="83"/>
      <c r="C34" s="83"/>
      <c r="D34" s="83"/>
      <c r="E34" s="83"/>
      <c r="F34" s="83"/>
      <c r="G34" s="83"/>
      <c r="H34" s="83"/>
      <c r="I34" s="83"/>
      <c r="J34" s="83"/>
      <c r="K34" s="83"/>
    </row>
    <row r="35" ht="13.5" customHeight="1">
      <c r="A35" s="83"/>
      <c r="B35" s="83"/>
      <c r="C35" s="83"/>
      <c r="D35" s="83"/>
      <c r="E35" s="83"/>
      <c r="F35" s="83"/>
      <c r="G35" s="83"/>
      <c r="H35" s="83"/>
      <c r="I35" s="83"/>
      <c r="J35" s="83"/>
      <c r="K35" s="83"/>
    </row>
    <row r="36" ht="13.5" customHeight="1">
      <c r="A36" s="83"/>
      <c r="B36" s="83"/>
      <c r="C36" s="83"/>
      <c r="D36" s="83"/>
      <c r="E36" s="83"/>
      <c r="F36" s="83"/>
      <c r="G36" s="83"/>
      <c r="H36" s="83"/>
      <c r="I36" s="83"/>
      <c r="J36" s="83"/>
      <c r="K36" s="83"/>
    </row>
    <row r="37" ht="13.5" customHeight="1">
      <c r="A37" s="83"/>
      <c r="B37" s="83"/>
      <c r="C37" s="83"/>
      <c r="D37" s="83"/>
      <c r="E37" s="83"/>
      <c r="F37" s="83"/>
      <c r="G37" s="83"/>
      <c r="H37" s="83"/>
      <c r="I37" s="83"/>
      <c r="J37" s="83"/>
      <c r="K37" s="83"/>
    </row>
    <row r="38" ht="13.5" customHeight="1">
      <c r="A38" s="83"/>
      <c r="B38" s="83"/>
      <c r="C38" s="83"/>
      <c r="D38" s="83"/>
      <c r="E38" s="83"/>
      <c r="F38" s="83"/>
      <c r="G38" s="83"/>
      <c r="H38" s="83"/>
      <c r="I38" s="83"/>
      <c r="J38" s="83"/>
      <c r="K38" s="83"/>
    </row>
    <row r="39" ht="13.5" customHeight="1">
      <c r="A39" s="83"/>
      <c r="B39" s="83"/>
      <c r="C39" s="83"/>
      <c r="D39" s="83"/>
      <c r="E39" s="83"/>
      <c r="F39" s="83"/>
      <c r="G39" s="83"/>
      <c r="H39" s="83"/>
      <c r="I39" s="83"/>
      <c r="J39" s="83"/>
      <c r="K39" s="83"/>
    </row>
    <row r="40" ht="13.5" customHeight="1">
      <c r="A40" s="83"/>
      <c r="B40" s="83"/>
      <c r="C40" s="83"/>
      <c r="D40" s="83"/>
      <c r="E40" s="83"/>
      <c r="F40" s="83"/>
      <c r="G40" s="83"/>
      <c r="H40" s="83"/>
      <c r="I40" s="83"/>
      <c r="J40" s="83"/>
      <c r="K40" s="83"/>
    </row>
    <row r="41" ht="13.5" customHeight="1">
      <c r="A41" s="83"/>
      <c r="B41" s="83"/>
      <c r="C41" s="83"/>
      <c r="D41" s="83"/>
      <c r="E41" s="83"/>
      <c r="F41" s="83"/>
      <c r="G41" s="83"/>
      <c r="H41" s="83"/>
      <c r="I41" s="83"/>
      <c r="J41" s="83"/>
      <c r="K41" s="83"/>
    </row>
    <row r="42" ht="13.5" customHeight="1">
      <c r="A42" s="83"/>
      <c r="B42" s="83"/>
      <c r="C42" s="83"/>
      <c r="D42" s="83"/>
      <c r="E42" s="83"/>
      <c r="F42" s="83"/>
      <c r="G42" s="83"/>
      <c r="H42" s="83"/>
      <c r="I42" s="83"/>
      <c r="J42" s="83"/>
      <c r="K42" s="83"/>
    </row>
    <row r="43" ht="13.5" customHeight="1">
      <c r="A43" s="83"/>
      <c r="B43" s="83"/>
      <c r="C43" s="83"/>
      <c r="D43" s="83"/>
      <c r="E43" s="83"/>
      <c r="F43" s="83"/>
      <c r="G43" s="83"/>
      <c r="H43" s="83"/>
      <c r="I43" s="83"/>
      <c r="J43" s="83"/>
      <c r="K43" s="83"/>
    </row>
    <row r="44" ht="13.5" customHeight="1">
      <c r="A44" s="83"/>
      <c r="B44" s="83"/>
      <c r="C44" s="83"/>
      <c r="D44" s="83"/>
      <c r="E44" s="83"/>
      <c r="F44" s="83"/>
      <c r="G44" s="83"/>
      <c r="H44" s="83"/>
      <c r="I44" s="83"/>
      <c r="J44" s="83"/>
      <c r="K44" s="83"/>
    </row>
    <row r="45" ht="13.5" customHeight="1">
      <c r="A45" s="83"/>
      <c r="B45" s="83"/>
      <c r="C45" s="83"/>
      <c r="D45" s="83"/>
      <c r="E45" s="83"/>
      <c r="F45" s="83"/>
      <c r="G45" s="83"/>
      <c r="H45" s="83"/>
      <c r="I45" s="83"/>
      <c r="J45" s="83"/>
      <c r="K45" s="83"/>
    </row>
    <row r="46" ht="13.5" customHeight="1">
      <c r="A46" s="83"/>
      <c r="B46" s="83"/>
      <c r="C46" s="83"/>
      <c r="D46" s="83"/>
      <c r="E46" s="83"/>
      <c r="F46" s="83"/>
      <c r="G46" s="83"/>
      <c r="H46" s="83"/>
      <c r="I46" s="83"/>
      <c r="J46" s="83"/>
      <c r="K46" s="83"/>
    </row>
    <row r="47" ht="13.5" customHeight="1">
      <c r="A47" s="83"/>
      <c r="B47" s="83"/>
      <c r="C47" s="83"/>
      <c r="D47" s="83"/>
      <c r="E47" s="83"/>
      <c r="F47" s="83"/>
      <c r="G47" s="83"/>
      <c r="H47" s="83"/>
      <c r="I47" s="83"/>
      <c r="J47" s="83"/>
      <c r="K47" s="83"/>
    </row>
    <row r="48" ht="13.5" customHeight="1">
      <c r="A48" s="83"/>
      <c r="B48" s="83"/>
      <c r="C48" s="83"/>
      <c r="D48" s="83"/>
      <c r="E48" s="83"/>
      <c r="F48" s="83"/>
      <c r="G48" s="83"/>
      <c r="H48" s="83"/>
      <c r="I48" s="83"/>
      <c r="J48" s="83"/>
      <c r="K48" s="83"/>
    </row>
    <row r="49" ht="13.5" customHeight="1">
      <c r="A49" s="83"/>
      <c r="B49" s="83"/>
      <c r="C49" s="83"/>
      <c r="D49" s="83"/>
      <c r="E49" s="83"/>
      <c r="F49" s="83"/>
      <c r="G49" s="83"/>
      <c r="H49" s="83"/>
      <c r="I49" s="83"/>
      <c r="J49" s="83"/>
      <c r="K49" s="83"/>
    </row>
    <row r="50" ht="13.5" customHeight="1">
      <c r="A50" s="83"/>
      <c r="B50" s="83"/>
      <c r="C50" s="83"/>
      <c r="D50" s="83"/>
      <c r="E50" s="83"/>
      <c r="F50" s="83"/>
      <c r="G50" s="83"/>
      <c r="H50" s="83"/>
      <c r="I50" s="83"/>
      <c r="J50" s="83"/>
      <c r="K50" s="83"/>
    </row>
    <row r="51" ht="13.5" customHeight="1">
      <c r="A51" s="83"/>
      <c r="B51" s="83"/>
      <c r="C51" s="83"/>
      <c r="D51" s="83"/>
      <c r="E51" s="83"/>
      <c r="F51" s="83"/>
      <c r="G51" s="83"/>
      <c r="H51" s="83"/>
      <c r="I51" s="83"/>
      <c r="J51" s="83"/>
      <c r="K51" s="83"/>
    </row>
    <row r="52" ht="13.5" customHeight="1">
      <c r="A52" s="83"/>
      <c r="B52" s="83"/>
      <c r="C52" s="83"/>
      <c r="D52" s="83"/>
      <c r="E52" s="83"/>
      <c r="F52" s="83"/>
      <c r="G52" s="83"/>
      <c r="H52" s="83"/>
      <c r="I52" s="83"/>
      <c r="J52" s="83"/>
      <c r="K52" s="83"/>
    </row>
    <row r="53" ht="13.5" customHeight="1">
      <c r="A53" s="83"/>
      <c r="B53" s="83"/>
      <c r="C53" s="83"/>
      <c r="D53" s="83"/>
      <c r="E53" s="83"/>
      <c r="F53" s="83"/>
      <c r="G53" s="83"/>
      <c r="H53" s="83"/>
      <c r="I53" s="83"/>
      <c r="J53" s="83"/>
      <c r="K53" s="83"/>
    </row>
    <row r="54" ht="13.5" customHeight="1">
      <c r="A54" s="83"/>
      <c r="B54" s="83"/>
      <c r="C54" s="83"/>
      <c r="D54" s="83"/>
      <c r="E54" s="83"/>
      <c r="F54" s="83"/>
      <c r="G54" s="83"/>
      <c r="H54" s="83"/>
      <c r="I54" s="83"/>
      <c r="J54" s="83"/>
      <c r="K54" s="83"/>
    </row>
    <row r="55" ht="13.5" customHeight="1">
      <c r="A55" s="83"/>
      <c r="B55" s="83"/>
      <c r="C55" s="83"/>
      <c r="D55" s="83"/>
      <c r="E55" s="83"/>
      <c r="F55" s="83"/>
      <c r="G55" s="83"/>
      <c r="H55" s="83"/>
      <c r="I55" s="83"/>
      <c r="J55" s="83"/>
      <c r="K55" s="83"/>
    </row>
    <row r="56" ht="13.5" customHeight="1">
      <c r="A56" s="83"/>
      <c r="B56" s="83"/>
      <c r="C56" s="83"/>
      <c r="D56" s="83"/>
      <c r="E56" s="83"/>
      <c r="F56" s="83"/>
      <c r="G56" s="83"/>
      <c r="H56" s="83"/>
      <c r="I56" s="83"/>
      <c r="J56" s="83"/>
      <c r="K56" s="83"/>
    </row>
    <row r="57" ht="13.5" customHeight="1">
      <c r="A57" s="83"/>
      <c r="B57" s="83"/>
      <c r="C57" s="83"/>
      <c r="D57" s="83"/>
      <c r="E57" s="83"/>
      <c r="F57" s="83"/>
      <c r="G57" s="83"/>
      <c r="H57" s="83"/>
      <c r="I57" s="83"/>
      <c r="J57" s="83"/>
      <c r="K57" s="83"/>
    </row>
    <row r="58" ht="13.5" customHeight="1">
      <c r="A58" s="83"/>
      <c r="B58" s="83"/>
      <c r="C58" s="83"/>
      <c r="D58" s="83"/>
      <c r="E58" s="83"/>
      <c r="F58" s="83"/>
      <c r="G58" s="83"/>
      <c r="H58" s="83"/>
      <c r="I58" s="83"/>
      <c r="J58" s="83"/>
      <c r="K58" s="83"/>
    </row>
    <row r="59" ht="13.5" customHeight="1">
      <c r="A59" s="83"/>
      <c r="B59" s="83"/>
      <c r="C59" s="83"/>
      <c r="D59" s="83"/>
      <c r="E59" s="83"/>
      <c r="F59" s="83"/>
      <c r="G59" s="83"/>
      <c r="H59" s="83"/>
      <c r="I59" s="83"/>
      <c r="J59" s="83"/>
      <c r="K59" s="83"/>
    </row>
    <row r="60" ht="13.5" customHeight="1">
      <c r="A60" s="83"/>
      <c r="B60" s="83"/>
      <c r="C60" s="83"/>
      <c r="D60" s="83"/>
      <c r="E60" s="83"/>
      <c r="F60" s="83"/>
      <c r="G60" s="83"/>
      <c r="H60" s="83"/>
      <c r="I60" s="83"/>
      <c r="J60" s="83"/>
      <c r="K60" s="83"/>
    </row>
    <row r="61" ht="13.5" customHeight="1">
      <c r="A61" s="83"/>
      <c r="B61" s="83"/>
      <c r="C61" s="83"/>
      <c r="D61" s="83"/>
      <c r="E61" s="83"/>
      <c r="F61" s="83"/>
      <c r="G61" s="83"/>
      <c r="H61" s="83"/>
      <c r="I61" s="83"/>
      <c r="J61" s="83"/>
      <c r="K61" s="83"/>
    </row>
    <row r="62" ht="13.5" customHeight="1">
      <c r="A62" s="83"/>
      <c r="B62" s="83"/>
      <c r="C62" s="83"/>
      <c r="D62" s="83"/>
      <c r="E62" s="83"/>
      <c r="F62" s="83"/>
      <c r="G62" s="83"/>
      <c r="H62" s="83"/>
      <c r="I62" s="83"/>
      <c r="J62" s="83"/>
      <c r="K62" s="83"/>
    </row>
    <row r="63" ht="13.5" customHeight="1">
      <c r="A63" s="83"/>
      <c r="B63" s="83"/>
      <c r="C63" s="83"/>
      <c r="D63" s="83"/>
      <c r="E63" s="83"/>
      <c r="F63" s="83"/>
      <c r="G63" s="83"/>
      <c r="H63" s="83"/>
      <c r="I63" s="83"/>
      <c r="J63" s="83"/>
      <c r="K63" s="83"/>
    </row>
    <row r="64" ht="13.5" customHeight="1">
      <c r="A64" s="83"/>
      <c r="B64" s="83"/>
      <c r="C64" s="83"/>
      <c r="D64" s="83"/>
      <c r="E64" s="83"/>
      <c r="F64" s="83"/>
      <c r="G64" s="83"/>
      <c r="H64" s="83"/>
      <c r="I64" s="83"/>
      <c r="J64" s="83"/>
      <c r="K64" s="83"/>
    </row>
    <row r="65" ht="13.5" customHeight="1">
      <c r="A65" s="83"/>
      <c r="B65" s="83"/>
      <c r="C65" s="83"/>
      <c r="D65" s="83"/>
      <c r="E65" s="83"/>
      <c r="F65" s="83"/>
      <c r="G65" s="83"/>
      <c r="H65" s="83"/>
      <c r="I65" s="83"/>
      <c r="J65" s="83"/>
      <c r="K65" s="83"/>
    </row>
    <row r="66" ht="13.5" customHeight="1">
      <c r="A66" s="83"/>
      <c r="B66" s="83"/>
      <c r="C66" s="83"/>
      <c r="D66" s="83"/>
      <c r="E66" s="83"/>
      <c r="F66" s="83"/>
      <c r="G66" s="83"/>
      <c r="H66" s="83"/>
      <c r="I66" s="83"/>
      <c r="J66" s="83"/>
      <c r="K66" s="83"/>
    </row>
    <row r="67" ht="13.5" customHeight="1">
      <c r="A67" s="83"/>
      <c r="B67" s="83"/>
      <c r="C67" s="83"/>
      <c r="D67" s="83"/>
      <c r="E67" s="83"/>
      <c r="F67" s="83"/>
      <c r="G67" s="83"/>
      <c r="H67" s="83"/>
      <c r="I67" s="83"/>
      <c r="J67" s="83"/>
      <c r="K67" s="83"/>
    </row>
    <row r="68" ht="13.5" customHeight="1">
      <c r="A68" s="83"/>
      <c r="B68" s="83"/>
      <c r="C68" s="83"/>
      <c r="D68" s="83"/>
      <c r="E68" s="83"/>
      <c r="F68" s="83"/>
      <c r="G68" s="83"/>
      <c r="H68" s="83"/>
      <c r="I68" s="83"/>
      <c r="J68" s="83"/>
      <c r="K68" s="83"/>
    </row>
    <row r="69" ht="13.5" customHeight="1">
      <c r="A69" s="83"/>
      <c r="B69" s="83"/>
      <c r="C69" s="83"/>
      <c r="D69" s="83"/>
      <c r="E69" s="83"/>
      <c r="F69" s="83"/>
      <c r="G69" s="83"/>
      <c r="H69" s="83"/>
      <c r="I69" s="83"/>
      <c r="J69" s="83"/>
      <c r="K69" s="83"/>
    </row>
    <row r="70" ht="13.5" customHeight="1">
      <c r="A70" s="83"/>
      <c r="B70" s="83"/>
      <c r="C70" s="83"/>
      <c r="D70" s="83"/>
      <c r="E70" s="83"/>
      <c r="F70" s="83"/>
      <c r="G70" s="83"/>
      <c r="H70" s="83"/>
      <c r="I70" s="83"/>
      <c r="J70" s="83"/>
      <c r="K70" s="83"/>
    </row>
    <row r="71" ht="13.5" customHeight="1">
      <c r="A71" s="83"/>
      <c r="B71" s="83"/>
      <c r="C71" s="83"/>
      <c r="D71" s="83"/>
      <c r="E71" s="83"/>
      <c r="F71" s="83"/>
      <c r="G71" s="83"/>
      <c r="H71" s="83"/>
      <c r="I71" s="83"/>
      <c r="J71" s="83"/>
      <c r="K71" s="83"/>
    </row>
    <row r="72" ht="13.5" customHeight="1">
      <c r="A72" s="83"/>
      <c r="B72" s="83"/>
      <c r="C72" s="83"/>
      <c r="D72" s="83"/>
      <c r="E72" s="83"/>
      <c r="F72" s="83"/>
      <c r="G72" s="83"/>
      <c r="H72" s="83"/>
      <c r="I72" s="83"/>
      <c r="J72" s="83"/>
      <c r="K72" s="83"/>
    </row>
    <row r="73" ht="13.5" customHeight="1">
      <c r="A73" s="83"/>
      <c r="B73" s="83"/>
      <c r="C73" s="83"/>
      <c r="D73" s="83"/>
      <c r="E73" s="83"/>
      <c r="F73" s="83"/>
      <c r="G73" s="83"/>
      <c r="H73" s="83"/>
      <c r="I73" s="83"/>
      <c r="J73" s="83"/>
      <c r="K73" s="83"/>
    </row>
    <row r="74" ht="13.5" customHeight="1">
      <c r="A74" s="83"/>
      <c r="B74" s="83"/>
      <c r="C74" s="83"/>
      <c r="D74" s="83"/>
      <c r="E74" s="83"/>
      <c r="F74" s="83"/>
      <c r="G74" s="83"/>
      <c r="H74" s="83"/>
      <c r="I74" s="83"/>
      <c r="J74" s="83"/>
      <c r="K74" s="83"/>
    </row>
    <row r="75" ht="13.5" customHeight="1">
      <c r="A75" s="83"/>
      <c r="B75" s="83"/>
      <c r="C75" s="83"/>
      <c r="D75" s="83"/>
      <c r="E75" s="83"/>
      <c r="F75" s="83"/>
      <c r="G75" s="83"/>
      <c r="H75" s="83"/>
      <c r="I75" s="83"/>
      <c r="J75" s="83"/>
      <c r="K75" s="83"/>
    </row>
    <row r="76" ht="13.5" customHeight="1">
      <c r="A76" s="83"/>
      <c r="B76" s="83"/>
      <c r="C76" s="83"/>
      <c r="D76" s="83"/>
      <c r="E76" s="83"/>
      <c r="F76" s="83"/>
      <c r="G76" s="83"/>
      <c r="H76" s="83"/>
      <c r="I76" s="83"/>
      <c r="J76" s="83"/>
      <c r="K76" s="83"/>
    </row>
    <row r="77" ht="13.5" customHeight="1">
      <c r="A77" s="83"/>
      <c r="B77" s="83"/>
      <c r="C77" s="83"/>
      <c r="D77" s="83"/>
      <c r="E77" s="83"/>
      <c r="F77" s="83"/>
      <c r="G77" s="83"/>
      <c r="H77" s="83"/>
      <c r="I77" s="83"/>
      <c r="J77" s="83"/>
      <c r="K77" s="83"/>
    </row>
    <row r="78" ht="13.5" customHeight="1">
      <c r="A78" s="83"/>
      <c r="B78" s="83"/>
      <c r="C78" s="83"/>
      <c r="D78" s="83"/>
      <c r="E78" s="83"/>
      <c r="F78" s="83"/>
      <c r="G78" s="83"/>
      <c r="H78" s="83"/>
      <c r="I78" s="83"/>
      <c r="J78" s="83"/>
      <c r="K78" s="83"/>
    </row>
    <row r="79" ht="13.5" customHeight="1">
      <c r="A79" s="83"/>
      <c r="B79" s="83"/>
      <c r="C79" s="83"/>
      <c r="D79" s="83"/>
      <c r="E79" s="83"/>
      <c r="F79" s="83"/>
      <c r="G79" s="83"/>
      <c r="H79" s="83"/>
      <c r="I79" s="83"/>
      <c r="J79" s="83"/>
      <c r="K79" s="83"/>
    </row>
    <row r="80" ht="13.5" customHeight="1">
      <c r="A80" s="83"/>
      <c r="B80" s="83"/>
      <c r="C80" s="83"/>
      <c r="D80" s="83"/>
      <c r="E80" s="83"/>
      <c r="F80" s="83"/>
      <c r="G80" s="83"/>
      <c r="H80" s="83"/>
      <c r="I80" s="83"/>
      <c r="J80" s="83"/>
      <c r="K80" s="83"/>
    </row>
    <row r="81" ht="13.5" customHeight="1">
      <c r="A81" s="83"/>
      <c r="B81" s="83"/>
      <c r="C81" s="83"/>
      <c r="D81" s="83"/>
      <c r="E81" s="83"/>
      <c r="F81" s="83"/>
      <c r="G81" s="83"/>
      <c r="H81" s="83"/>
      <c r="I81" s="83"/>
      <c r="J81" s="83"/>
      <c r="K81" s="83"/>
    </row>
    <row r="82" ht="13.5" customHeight="1">
      <c r="A82" s="83"/>
      <c r="B82" s="83"/>
      <c r="C82" s="83"/>
      <c r="D82" s="83"/>
      <c r="E82" s="83"/>
      <c r="F82" s="83"/>
      <c r="G82" s="83"/>
      <c r="H82" s="83"/>
      <c r="I82" s="83"/>
      <c r="J82" s="83"/>
      <c r="K82" s="83"/>
    </row>
    <row r="83" ht="13.5" customHeight="1">
      <c r="A83" s="83"/>
      <c r="B83" s="83"/>
      <c r="C83" s="83"/>
      <c r="D83" s="83"/>
      <c r="E83" s="83"/>
      <c r="F83" s="83"/>
      <c r="G83" s="83"/>
      <c r="H83" s="83"/>
      <c r="I83" s="83"/>
      <c r="J83" s="83"/>
      <c r="K83" s="83"/>
    </row>
    <row r="84" ht="13.5" customHeight="1">
      <c r="A84" s="83"/>
      <c r="B84" s="83"/>
      <c r="C84" s="83"/>
      <c r="D84" s="83"/>
      <c r="E84" s="83"/>
      <c r="F84" s="83"/>
      <c r="G84" s="83"/>
      <c r="H84" s="83"/>
      <c r="I84" s="83"/>
      <c r="J84" s="83"/>
      <c r="K84" s="83"/>
    </row>
    <row r="85" ht="13.5" customHeight="1">
      <c r="A85" s="83"/>
      <c r="B85" s="83"/>
      <c r="C85" s="83"/>
      <c r="D85" s="83"/>
      <c r="E85" s="83"/>
      <c r="F85" s="83"/>
      <c r="G85" s="83"/>
      <c r="H85" s="83"/>
      <c r="I85" s="83"/>
      <c r="J85" s="83"/>
      <c r="K85" s="83"/>
    </row>
    <row r="86" ht="13.5" customHeight="1">
      <c r="A86" s="83"/>
      <c r="B86" s="83"/>
      <c r="C86" s="83"/>
      <c r="D86" s="83"/>
      <c r="E86" s="83"/>
      <c r="F86" s="83"/>
      <c r="G86" s="83"/>
      <c r="H86" s="83"/>
      <c r="I86" s="83"/>
      <c r="J86" s="83"/>
      <c r="K86" s="83"/>
    </row>
    <row r="87" ht="13.5" customHeight="1">
      <c r="A87" s="83"/>
      <c r="B87" s="83"/>
      <c r="C87" s="83"/>
      <c r="D87" s="83"/>
      <c r="E87" s="83"/>
      <c r="F87" s="83"/>
      <c r="G87" s="83"/>
      <c r="H87" s="83"/>
      <c r="I87" s="83"/>
      <c r="J87" s="83"/>
      <c r="K87" s="83"/>
    </row>
    <row r="88" ht="13.5" customHeight="1">
      <c r="A88" s="83"/>
      <c r="B88" s="83"/>
      <c r="C88" s="83"/>
      <c r="D88" s="83"/>
      <c r="E88" s="83"/>
      <c r="F88" s="83"/>
      <c r="G88" s="83"/>
      <c r="H88" s="83"/>
      <c r="I88" s="83"/>
      <c r="J88" s="83"/>
      <c r="K88" s="83"/>
    </row>
    <row r="89" ht="13.5" customHeight="1">
      <c r="A89" s="83"/>
      <c r="B89" s="83"/>
      <c r="C89" s="83"/>
      <c r="D89" s="83"/>
      <c r="E89" s="83"/>
      <c r="F89" s="83"/>
      <c r="G89" s="83"/>
      <c r="H89" s="83"/>
      <c r="I89" s="83"/>
      <c r="J89" s="83"/>
      <c r="K89" s="83"/>
    </row>
    <row r="90" ht="13.5" customHeight="1">
      <c r="A90" s="83"/>
      <c r="B90" s="83"/>
      <c r="C90" s="83"/>
      <c r="D90" s="83"/>
      <c r="E90" s="83"/>
      <c r="F90" s="83"/>
      <c r="G90" s="83"/>
      <c r="H90" s="83"/>
      <c r="I90" s="83"/>
      <c r="J90" s="83"/>
      <c r="K90" s="83"/>
    </row>
    <row r="91" ht="13.5" customHeight="1">
      <c r="A91" s="83"/>
      <c r="B91" s="83"/>
      <c r="C91" s="83"/>
      <c r="D91" s="83"/>
      <c r="E91" s="83"/>
      <c r="F91" s="83"/>
      <c r="G91" s="83"/>
      <c r="H91" s="83"/>
      <c r="I91" s="83"/>
      <c r="J91" s="83"/>
      <c r="K91" s="83"/>
    </row>
    <row r="92" ht="13.5" customHeight="1">
      <c r="A92" s="83"/>
      <c r="B92" s="83"/>
      <c r="C92" s="83"/>
      <c r="D92" s="83"/>
      <c r="E92" s="83"/>
      <c r="F92" s="83"/>
      <c r="G92" s="83"/>
      <c r="H92" s="83"/>
      <c r="I92" s="83"/>
      <c r="J92" s="83"/>
      <c r="K92" s="83"/>
    </row>
    <row r="93" ht="13.5" customHeight="1">
      <c r="A93" s="83"/>
      <c r="B93" s="83"/>
      <c r="C93" s="83"/>
      <c r="D93" s="83"/>
      <c r="E93" s="83"/>
      <c r="F93" s="83"/>
      <c r="G93" s="83"/>
      <c r="H93" s="83"/>
      <c r="I93" s="83"/>
      <c r="J93" s="83"/>
      <c r="K93" s="83"/>
    </row>
    <row r="94" ht="13.5" customHeight="1">
      <c r="A94" s="83"/>
      <c r="B94" s="83"/>
      <c r="C94" s="83"/>
      <c r="D94" s="83"/>
      <c r="E94" s="83"/>
      <c r="F94" s="83"/>
      <c r="G94" s="83"/>
      <c r="H94" s="83"/>
      <c r="I94" s="83"/>
      <c r="J94" s="83"/>
      <c r="K94" s="83"/>
    </row>
    <row r="95" ht="13.5" customHeight="1">
      <c r="A95" s="83"/>
      <c r="B95" s="83"/>
      <c r="C95" s="83"/>
      <c r="D95" s="83"/>
      <c r="E95" s="83"/>
      <c r="F95" s="83"/>
      <c r="G95" s="83"/>
      <c r="H95" s="83"/>
      <c r="I95" s="83"/>
      <c r="J95" s="83"/>
      <c r="K95" s="83"/>
    </row>
    <row r="96" ht="13.5" customHeight="1">
      <c r="A96" s="83"/>
      <c r="B96" s="83"/>
      <c r="C96" s="83"/>
      <c r="D96" s="83"/>
      <c r="E96" s="83"/>
      <c r="F96" s="83"/>
      <c r="G96" s="83"/>
      <c r="H96" s="83"/>
      <c r="I96" s="83"/>
      <c r="J96" s="83"/>
      <c r="K96" s="83"/>
    </row>
    <row r="97" ht="13.5" customHeight="1">
      <c r="A97" s="83"/>
      <c r="B97" s="83"/>
      <c r="C97" s="83"/>
      <c r="D97" s="83"/>
      <c r="E97" s="83"/>
      <c r="F97" s="83"/>
      <c r="G97" s="83"/>
      <c r="H97" s="83"/>
      <c r="I97" s="83"/>
      <c r="J97" s="83"/>
      <c r="K97" s="83"/>
    </row>
    <row r="98" ht="13.5" customHeight="1">
      <c r="A98" s="83"/>
      <c r="B98" s="83"/>
      <c r="C98" s="83"/>
      <c r="D98" s="83"/>
      <c r="E98" s="83"/>
      <c r="F98" s="83"/>
      <c r="G98" s="83"/>
      <c r="H98" s="83"/>
      <c r="I98" s="83"/>
      <c r="J98" s="83"/>
      <c r="K98" s="83"/>
    </row>
    <row r="99" ht="13.5" customHeight="1">
      <c r="A99" s="83"/>
      <c r="B99" s="83"/>
      <c r="C99" s="83"/>
      <c r="D99" s="83"/>
      <c r="E99" s="83"/>
      <c r="F99" s="83"/>
      <c r="G99" s="83"/>
      <c r="H99" s="83"/>
      <c r="I99" s="83"/>
      <c r="J99" s="83"/>
      <c r="K99" s="83"/>
    </row>
    <row r="100" ht="13.5" customHeight="1">
      <c r="A100" s="83"/>
      <c r="B100" s="83"/>
      <c r="C100" s="83"/>
      <c r="D100" s="83"/>
      <c r="E100" s="83"/>
      <c r="F100" s="83"/>
      <c r="G100" s="83"/>
      <c r="H100" s="83"/>
      <c r="I100" s="83"/>
      <c r="J100" s="83"/>
      <c r="K100" s="83"/>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67.43"/>
    <col customWidth="1" min="2" max="11" width="12.57"/>
  </cols>
  <sheetData>
    <row r="1" ht="15.75" customHeight="1">
      <c r="E1" s="17" t="s">
        <v>279</v>
      </c>
    </row>
    <row r="2" ht="15.75" customHeight="1"/>
    <row r="3" ht="15.75" customHeight="1">
      <c r="E3" s="53">
        <v>1.0</v>
      </c>
    </row>
    <row r="4" ht="15.75" customHeight="1">
      <c r="E4" s="53">
        <v>1.0</v>
      </c>
    </row>
    <row r="5" ht="15.75" customHeight="1">
      <c r="E5" s="53">
        <v>1.0</v>
      </c>
    </row>
    <row r="6" ht="15.75" customHeight="1">
      <c r="E6" s="53">
        <v>1.0</v>
      </c>
    </row>
    <row r="7" ht="15.75" customHeight="1">
      <c r="E7" s="53">
        <v>0.0</v>
      </c>
    </row>
    <row r="8" ht="15.75" customHeight="1">
      <c r="E8" s="53">
        <v>1.0</v>
      </c>
    </row>
    <row r="9" ht="15.75" customHeight="1">
      <c r="E9" s="53">
        <v>1.0</v>
      </c>
    </row>
    <row r="10" ht="15.75" customHeight="1">
      <c r="E10" s="53">
        <v>1.0</v>
      </c>
    </row>
    <row r="11" ht="15.75" customHeight="1">
      <c r="E11" s="53">
        <v>1.0</v>
      </c>
    </row>
    <row r="12" ht="15.75" customHeight="1">
      <c r="E12" s="53">
        <v>1.0</v>
      </c>
    </row>
    <row r="13" ht="15.75" customHeight="1">
      <c r="E13" s="53">
        <v>1.0</v>
      </c>
    </row>
    <row r="14" ht="15.75" customHeight="1">
      <c r="E14" s="53">
        <v>1.0</v>
      </c>
    </row>
    <row r="15" ht="15.75" customHeight="1">
      <c r="E15" s="53">
        <v>0.0</v>
      </c>
    </row>
    <row r="16" ht="15.75" customHeight="1">
      <c r="E16" s="53">
        <v>1.0</v>
      </c>
    </row>
    <row r="17" ht="15.75" customHeight="1">
      <c r="E17" s="53">
        <v>1.0</v>
      </c>
    </row>
    <row r="18" ht="15.75" customHeight="1">
      <c r="E18" s="53">
        <v>1.0</v>
      </c>
    </row>
    <row r="19" ht="15.75" customHeight="1">
      <c r="E19" s="53">
        <v>1.0</v>
      </c>
    </row>
    <row r="20" ht="15.75" customHeight="1">
      <c r="E20" s="53">
        <v>1.0</v>
      </c>
    </row>
    <row r="21" ht="15.75" customHeight="1">
      <c r="E21" s="53">
        <v>1.0</v>
      </c>
    </row>
    <row r="22" ht="15.75" customHeight="1">
      <c r="E22" s="53">
        <v>1.0</v>
      </c>
    </row>
    <row r="23" ht="15.75" customHeight="1">
      <c r="E23" s="53">
        <v>1.0</v>
      </c>
    </row>
    <row r="24" ht="15.75" customHeight="1">
      <c r="E24" s="53">
        <v>1.0</v>
      </c>
    </row>
    <row r="25" ht="15.75" customHeight="1">
      <c r="E25" s="53">
        <v>1.0</v>
      </c>
    </row>
    <row r="26" ht="15.75" customHeight="1">
      <c r="E26" s="53">
        <v>1.0</v>
      </c>
    </row>
    <row r="27" ht="15.75" customHeight="1">
      <c r="E27" s="53">
        <v>1.0</v>
      </c>
    </row>
    <row r="28" ht="15.75" customHeight="1">
      <c r="E28" s="53" t="str">
        <f>SUM(E3:E27)</f>
        <v>23</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autoFilter ref="$A$1:$D$28"/>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8.57"/>
    <col customWidth="1" min="2" max="2" width="12.43"/>
    <col customWidth="1" min="3" max="3" width="11.0"/>
    <col customWidth="1" min="4" max="4" width="25.29"/>
    <col customWidth="1" min="5" max="5" width="54.57"/>
    <col customWidth="1" min="6" max="6" width="28.0"/>
    <col customWidth="1" min="7" max="11" width="12.57"/>
  </cols>
  <sheetData>
    <row r="1" ht="15.75" customHeight="1">
      <c r="A1" s="9" t="s">
        <v>283</v>
      </c>
      <c r="B1" s="9" t="s">
        <v>284</v>
      </c>
      <c r="C1" s="9" t="s">
        <v>285</v>
      </c>
      <c r="D1" s="9" t="s">
        <v>286</v>
      </c>
      <c r="E1" s="9" t="s">
        <v>287</v>
      </c>
      <c r="F1" s="17" t="s">
        <v>288</v>
      </c>
    </row>
    <row r="2" ht="15.75" customHeight="1">
      <c r="A2" s="103" t="s">
        <v>230</v>
      </c>
      <c r="B2" s="104" t="s">
        <v>289</v>
      </c>
      <c r="C2" s="8">
        <v>5.4976263E8</v>
      </c>
      <c r="D2" s="105" t="s">
        <v>290</v>
      </c>
      <c r="E2" s="9" t="s">
        <v>291</v>
      </c>
      <c r="F2" s="53"/>
    </row>
    <row r="3" ht="15.75" customHeight="1">
      <c r="A3" s="103" t="s">
        <v>292</v>
      </c>
      <c r="B3" s="104" t="s">
        <v>293</v>
      </c>
      <c r="C3" s="8">
        <v>5.42883803E8</v>
      </c>
      <c r="D3" s="106" t="s">
        <v>294</v>
      </c>
      <c r="E3" s="9" t="s">
        <v>295</v>
      </c>
      <c r="F3" s="53"/>
    </row>
    <row r="4" ht="15.75" customHeight="1">
      <c r="A4" s="103" t="s">
        <v>207</v>
      </c>
      <c r="B4" s="104" t="s">
        <v>296</v>
      </c>
      <c r="C4" s="8">
        <v>5.45874111E8</v>
      </c>
      <c r="D4" s="107" t="s">
        <v>297</v>
      </c>
      <c r="E4" s="9" t="s">
        <v>298</v>
      </c>
    </row>
    <row r="5" ht="15.75" customHeight="1">
      <c r="A5" s="103" t="s">
        <v>198</v>
      </c>
      <c r="B5" s="104" t="s">
        <v>299</v>
      </c>
      <c r="C5" s="8">
        <v>5.06226443E8</v>
      </c>
      <c r="D5" s="107" t="s">
        <v>300</v>
      </c>
      <c r="E5" s="9" t="s">
        <v>301</v>
      </c>
    </row>
    <row r="6" ht="15.75" customHeight="1">
      <c r="A6" s="103" t="s">
        <v>97</v>
      </c>
      <c r="B6" s="104" t="s">
        <v>302</v>
      </c>
      <c r="C6" s="8">
        <v>5.42470626E8</v>
      </c>
      <c r="D6" s="106" t="s">
        <v>303</v>
      </c>
      <c r="E6" s="9" t="s">
        <v>304</v>
      </c>
    </row>
    <row r="7" ht="15.75" customHeight="1">
      <c r="A7" s="103" t="s">
        <v>126</v>
      </c>
      <c r="B7" s="104" t="s">
        <v>305</v>
      </c>
      <c r="C7" s="8">
        <v>5.28771376E8</v>
      </c>
      <c r="D7" s="107" t="s">
        <v>306</v>
      </c>
      <c r="E7" s="9" t="s">
        <v>307</v>
      </c>
    </row>
    <row r="8" ht="15.75" customHeight="1">
      <c r="A8" s="103" t="s">
        <v>189</v>
      </c>
      <c r="B8" s="104" t="s">
        <v>308</v>
      </c>
      <c r="C8" s="8">
        <v>5.06218586E8</v>
      </c>
      <c r="D8" s="106" t="s">
        <v>309</v>
      </c>
      <c r="E8" s="9" t="s">
        <v>307</v>
      </c>
    </row>
    <row r="9" ht="15.75" customHeight="1">
      <c r="A9" s="103" t="s">
        <v>153</v>
      </c>
      <c r="B9" s="104" t="s">
        <v>310</v>
      </c>
      <c r="C9" s="8">
        <v>5.47681682E8</v>
      </c>
      <c r="D9" s="107" t="s">
        <v>311</v>
      </c>
      <c r="E9" s="9" t="s">
        <v>307</v>
      </c>
    </row>
    <row r="10" ht="15.75" customHeight="1">
      <c r="A10" s="103" t="s">
        <v>25</v>
      </c>
      <c r="B10" s="104" t="s">
        <v>312</v>
      </c>
      <c r="C10" s="8">
        <v>5.43385481E8</v>
      </c>
      <c r="D10" s="106" t="s">
        <v>313</v>
      </c>
      <c r="E10" s="9" t="s">
        <v>307</v>
      </c>
    </row>
    <row r="11" ht="15.75" customHeight="1">
      <c r="A11" s="103" t="s">
        <v>314</v>
      </c>
      <c r="B11" s="104" t="s">
        <v>315</v>
      </c>
      <c r="C11" s="8">
        <v>5.06222324E8</v>
      </c>
      <c r="D11" s="106" t="s">
        <v>316</v>
      </c>
      <c r="E11" s="9" t="s">
        <v>307</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hyperlinks>
    <hyperlink r:id="rId1" ref="B2"/>
    <hyperlink r:id="rId2" ref="D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s>
  <printOptions/>
  <pageMargins bottom="0.75" footer="0.0" header="0.0" left="0.7" right="0.7" top="0.75"/>
  <pageSetup orientation="landscape"/>
  <drawing r:id="rId2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8.86"/>
    <col customWidth="1" min="3" max="3" width="21.29"/>
    <col customWidth="1" min="4" max="4" width="18.86"/>
    <col customWidth="1" min="5" max="5" width="19.86"/>
    <col customWidth="1" min="6" max="6" width="21.0"/>
    <col customWidth="1" min="7" max="7" width="36.14"/>
    <col customWidth="1" min="8" max="8" width="26.29"/>
    <col customWidth="1" min="9" max="9" width="23.71"/>
    <col customWidth="1" min="10" max="10" width="26.29"/>
    <col customWidth="1" min="11" max="11" width="37.57"/>
    <col customWidth="1" min="12" max="12" width="28.86"/>
    <col customWidth="1" min="13" max="13" width="21.29"/>
    <col customWidth="1" min="14" max="14" width="18.86"/>
    <col customWidth="1" min="15" max="15" width="21.29"/>
    <col customWidth="1" min="16" max="16" width="18.86"/>
    <col customWidth="1" min="17" max="17" width="19.86"/>
    <col customWidth="1" min="18" max="18" width="21.0"/>
    <col customWidth="1" min="19" max="19" width="36.14"/>
    <col customWidth="1" min="20" max="20" width="26.29"/>
    <col customWidth="1" min="21" max="21" width="23.71"/>
    <col customWidth="1" min="22" max="22" width="26.29"/>
    <col customWidth="1" min="23" max="23" width="37.57"/>
    <col customWidth="1" min="24" max="24" width="28.86"/>
    <col customWidth="1" min="25" max="25" width="21.29"/>
    <col customWidth="1" min="26" max="26" width="18.86"/>
    <col customWidth="1" min="27" max="27" width="21.29"/>
    <col customWidth="1" min="28" max="28" width="18.86"/>
    <col customWidth="1" min="29" max="29" width="19.86"/>
    <col customWidth="1" min="30" max="30" width="21.0"/>
    <col customWidth="1" min="31" max="31" width="36.14"/>
    <col customWidth="1" min="32" max="32" width="26.29"/>
    <col customWidth="1" min="33" max="33" width="23.71"/>
    <col customWidth="1" min="34" max="34" width="26.29"/>
    <col customWidth="1" min="35" max="35" width="37.57"/>
    <col customWidth="1" min="36" max="36" width="28.86"/>
    <col customWidth="1" min="37" max="37" width="21.29"/>
    <col customWidth="1" min="38" max="38" width="18.86"/>
    <col customWidth="1" min="39" max="39" width="21.29"/>
    <col customWidth="1" min="40" max="40" width="18.86"/>
    <col customWidth="1" min="41" max="41" width="19.86"/>
    <col customWidth="1" min="42" max="42" width="21.0"/>
    <col customWidth="1" min="43" max="43" width="36.14"/>
    <col customWidth="1" min="44" max="44" width="26.29"/>
    <col customWidth="1" min="45" max="45" width="23.71"/>
    <col customWidth="1" min="46" max="46" width="26.29"/>
    <col customWidth="1" min="47" max="47" width="37.57"/>
    <col customWidth="1" min="48" max="48" width="28.86"/>
    <col customWidth="1" min="49" max="49" width="21.29"/>
    <col customWidth="1" min="50" max="50" width="18.86"/>
    <col customWidth="1" min="51" max="51" width="21.29"/>
    <col customWidth="1" min="52" max="52" width="18.86"/>
    <col customWidth="1" min="53" max="53" width="19.86"/>
    <col customWidth="1" min="54" max="54" width="21.0"/>
    <col customWidth="1" min="55" max="55" width="36.14"/>
    <col customWidth="1" min="56" max="56" width="26.29"/>
    <col customWidth="1" min="57" max="57" width="23.71"/>
    <col customWidth="1" min="58" max="58" width="26.29"/>
    <col customWidth="1" min="59" max="59" width="37.57"/>
    <col customWidth="1" min="60" max="60" width="28.86"/>
    <col customWidth="1" min="61" max="61" width="21.29"/>
  </cols>
  <sheetData>
    <row r="1" ht="22.5" customHeight="1">
      <c r="A1" s="108" t="s">
        <v>5</v>
      </c>
      <c r="B1" s="108" t="s">
        <v>12</v>
      </c>
      <c r="C1" s="108" t="s">
        <v>13</v>
      </c>
      <c r="D1" s="108" t="s">
        <v>14</v>
      </c>
      <c r="E1" s="108" t="s">
        <v>15</v>
      </c>
      <c r="F1" s="108" t="s">
        <v>16</v>
      </c>
      <c r="G1" s="108" t="s">
        <v>17</v>
      </c>
      <c r="H1" s="108" t="s">
        <v>18</v>
      </c>
      <c r="I1" s="108" t="s">
        <v>19</v>
      </c>
      <c r="J1" s="108" t="s">
        <v>20</v>
      </c>
      <c r="K1" s="108" t="s">
        <v>21</v>
      </c>
      <c r="L1" s="108" t="s">
        <v>22</v>
      </c>
      <c r="M1" s="108" t="s">
        <v>23</v>
      </c>
      <c r="N1" s="108" t="s">
        <v>12</v>
      </c>
      <c r="O1" s="108" t="s">
        <v>13</v>
      </c>
      <c r="P1" s="108" t="s">
        <v>14</v>
      </c>
      <c r="Q1" s="108" t="s">
        <v>15</v>
      </c>
      <c r="R1" s="108" t="s">
        <v>16</v>
      </c>
      <c r="S1" s="108" t="s">
        <v>17</v>
      </c>
      <c r="T1" s="108" t="s">
        <v>18</v>
      </c>
      <c r="U1" s="108" t="s">
        <v>19</v>
      </c>
      <c r="V1" s="108" t="s">
        <v>20</v>
      </c>
      <c r="W1" s="108" t="s">
        <v>21</v>
      </c>
      <c r="X1" s="108" t="s">
        <v>22</v>
      </c>
      <c r="Y1" s="108" t="s">
        <v>23</v>
      </c>
      <c r="Z1" s="108" t="s">
        <v>12</v>
      </c>
      <c r="AA1" s="108" t="s">
        <v>13</v>
      </c>
      <c r="AB1" s="108" t="s">
        <v>14</v>
      </c>
      <c r="AC1" s="108" t="s">
        <v>15</v>
      </c>
      <c r="AD1" s="108" t="s">
        <v>16</v>
      </c>
      <c r="AE1" s="108" t="s">
        <v>17</v>
      </c>
      <c r="AF1" s="108" t="s">
        <v>18</v>
      </c>
      <c r="AG1" s="108" t="s">
        <v>19</v>
      </c>
      <c r="AH1" s="108" t="s">
        <v>20</v>
      </c>
      <c r="AI1" s="108" t="s">
        <v>21</v>
      </c>
      <c r="AJ1" s="108" t="s">
        <v>22</v>
      </c>
      <c r="AK1" s="108" t="s">
        <v>23</v>
      </c>
      <c r="AL1" s="108" t="s">
        <v>12</v>
      </c>
      <c r="AM1" s="108" t="s">
        <v>13</v>
      </c>
      <c r="AN1" s="108" t="s">
        <v>14</v>
      </c>
      <c r="AO1" s="108" t="s">
        <v>15</v>
      </c>
      <c r="AP1" s="108" t="s">
        <v>16</v>
      </c>
      <c r="AQ1" s="108" t="s">
        <v>17</v>
      </c>
      <c r="AR1" s="108" t="s">
        <v>18</v>
      </c>
      <c r="AS1" s="108" t="s">
        <v>19</v>
      </c>
      <c r="AT1" s="108" t="s">
        <v>20</v>
      </c>
      <c r="AU1" s="108" t="s">
        <v>21</v>
      </c>
      <c r="AV1" s="108" t="s">
        <v>22</v>
      </c>
      <c r="AW1" s="108" t="s">
        <v>23</v>
      </c>
      <c r="AX1" s="108" t="s">
        <v>12</v>
      </c>
      <c r="AY1" s="108" t="s">
        <v>13</v>
      </c>
      <c r="AZ1" s="108" t="s">
        <v>14</v>
      </c>
      <c r="BA1" s="108" t="s">
        <v>15</v>
      </c>
      <c r="BB1" s="108" t="s">
        <v>16</v>
      </c>
      <c r="BC1" s="108" t="s">
        <v>17</v>
      </c>
      <c r="BD1" s="108" t="s">
        <v>18</v>
      </c>
      <c r="BE1" s="108" t="s">
        <v>19</v>
      </c>
      <c r="BF1" s="108" t="s">
        <v>20</v>
      </c>
      <c r="BG1" s="108" t="s">
        <v>21</v>
      </c>
      <c r="BH1" s="108" t="s">
        <v>22</v>
      </c>
      <c r="BI1" s="108" t="s">
        <v>23</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8.86"/>
    <col customWidth="1" min="3" max="3" width="21.29"/>
    <col customWidth="1" min="4" max="4" width="18.86"/>
    <col customWidth="1" min="5" max="5" width="19.86"/>
    <col customWidth="1" min="6" max="6" width="21.0"/>
    <col customWidth="1" min="7" max="7" width="36.14"/>
    <col customWidth="1" min="8" max="8" width="26.29"/>
    <col customWidth="1" min="9" max="9" width="23.71"/>
    <col customWidth="1" min="10" max="10" width="26.29"/>
    <col customWidth="1" min="11" max="11" width="37.57"/>
    <col customWidth="1" min="12" max="12" width="28.86"/>
    <col customWidth="1" min="13" max="13" width="21.29"/>
    <col customWidth="1" min="14" max="14" width="18.86"/>
    <col customWidth="1" min="15" max="15" width="21.29"/>
    <col customWidth="1" min="16" max="16" width="18.86"/>
    <col customWidth="1" min="17" max="17" width="19.86"/>
    <col customWidth="1" min="18" max="18" width="21.0"/>
    <col customWidth="1" min="19" max="19" width="36.14"/>
    <col customWidth="1" min="20" max="20" width="26.29"/>
    <col customWidth="1" min="21" max="21" width="23.71"/>
    <col customWidth="1" min="22" max="22" width="26.29"/>
    <col customWidth="1" min="23" max="23" width="37.57"/>
    <col customWidth="1" min="24" max="24" width="28.86"/>
    <col customWidth="1" min="25" max="25" width="21.29"/>
    <col customWidth="1" min="26" max="26" width="18.86"/>
    <col customWidth="1" min="27" max="27" width="21.29"/>
    <col customWidth="1" min="28" max="28" width="18.86"/>
    <col customWidth="1" min="29" max="29" width="19.86"/>
    <col customWidth="1" min="30" max="30" width="21.0"/>
    <col customWidth="1" min="31" max="31" width="36.14"/>
    <col customWidth="1" min="32" max="32" width="26.29"/>
    <col customWidth="1" min="33" max="33" width="23.71"/>
    <col customWidth="1" min="34" max="34" width="26.29"/>
    <col customWidth="1" min="35" max="35" width="37.57"/>
    <col customWidth="1" min="36" max="36" width="28.86"/>
    <col customWidth="1" min="37" max="37" width="21.29"/>
    <col customWidth="1" min="38" max="38" width="18.86"/>
    <col customWidth="1" min="39" max="39" width="21.29"/>
    <col customWidth="1" min="40" max="40" width="18.86"/>
    <col customWidth="1" min="41" max="41" width="19.86"/>
    <col customWidth="1" min="42" max="42" width="21.0"/>
    <col customWidth="1" min="43" max="43" width="36.14"/>
    <col customWidth="1" min="44" max="44" width="26.29"/>
    <col customWidth="1" min="45" max="45" width="23.71"/>
    <col customWidth="1" min="46" max="46" width="26.29"/>
    <col customWidth="1" min="47" max="47" width="37.57"/>
    <col customWidth="1" min="48" max="48" width="28.86"/>
    <col customWidth="1" min="49" max="49" width="21.29"/>
    <col customWidth="1" min="50" max="50" width="18.86"/>
    <col customWidth="1" min="51" max="51" width="21.29"/>
    <col customWidth="1" min="52" max="52" width="18.86"/>
    <col customWidth="1" min="53" max="53" width="19.86"/>
    <col customWidth="1" min="54" max="54" width="21.0"/>
    <col customWidth="1" min="55" max="55" width="36.14"/>
    <col customWidth="1" min="56" max="56" width="26.29"/>
    <col customWidth="1" min="57" max="57" width="23.71"/>
    <col customWidth="1" min="58" max="58" width="26.29"/>
    <col customWidth="1" min="59" max="59" width="37.57"/>
    <col customWidth="1" min="60" max="60" width="28.86"/>
    <col customWidth="1" min="61" max="61" width="21.29"/>
  </cols>
  <sheetData>
    <row r="1" ht="22.5" customHeight="1">
      <c r="A1" s="108" t="s">
        <v>5</v>
      </c>
      <c r="B1" s="108" t="s">
        <v>12</v>
      </c>
      <c r="C1" s="108" t="s">
        <v>13</v>
      </c>
      <c r="D1" s="108" t="s">
        <v>14</v>
      </c>
      <c r="E1" s="108" t="s">
        <v>15</v>
      </c>
      <c r="F1" s="108" t="s">
        <v>16</v>
      </c>
      <c r="G1" s="108" t="s">
        <v>17</v>
      </c>
      <c r="H1" s="108" t="s">
        <v>18</v>
      </c>
      <c r="I1" s="108" t="s">
        <v>19</v>
      </c>
      <c r="J1" s="108" t="s">
        <v>20</v>
      </c>
      <c r="K1" s="108" t="s">
        <v>21</v>
      </c>
      <c r="L1" s="108" t="s">
        <v>22</v>
      </c>
      <c r="M1" s="108" t="s">
        <v>23</v>
      </c>
      <c r="N1" s="108" t="s">
        <v>317</v>
      </c>
      <c r="O1" s="108" t="s">
        <v>318</v>
      </c>
      <c r="P1" s="108" t="s">
        <v>319</v>
      </c>
      <c r="Q1" s="108" t="s">
        <v>320</v>
      </c>
      <c r="R1" s="108" t="s">
        <v>321</v>
      </c>
      <c r="S1" s="108" t="s">
        <v>322</v>
      </c>
      <c r="T1" s="108" t="s">
        <v>323</v>
      </c>
      <c r="U1" s="108" t="s">
        <v>324</v>
      </c>
      <c r="V1" s="108" t="s">
        <v>325</v>
      </c>
      <c r="W1" s="108" t="s">
        <v>326</v>
      </c>
      <c r="X1" s="108" t="s">
        <v>327</v>
      </c>
      <c r="Y1" s="108" t="s">
        <v>328</v>
      </c>
      <c r="Z1" s="108" t="s">
        <v>329</v>
      </c>
      <c r="AA1" s="108" t="s">
        <v>330</v>
      </c>
      <c r="AB1" s="108" t="s">
        <v>331</v>
      </c>
      <c r="AC1" s="108" t="s">
        <v>332</v>
      </c>
      <c r="AD1" s="108" t="s">
        <v>333</v>
      </c>
      <c r="AE1" s="108" t="s">
        <v>334</v>
      </c>
      <c r="AF1" s="108" t="s">
        <v>335</v>
      </c>
      <c r="AG1" s="108" t="s">
        <v>336</v>
      </c>
      <c r="AH1" s="108" t="s">
        <v>337</v>
      </c>
      <c r="AI1" s="108" t="s">
        <v>338</v>
      </c>
      <c r="AJ1" s="108" t="s">
        <v>339</v>
      </c>
      <c r="AK1" s="108" t="s">
        <v>340</v>
      </c>
      <c r="AL1" s="108" t="s">
        <v>341</v>
      </c>
      <c r="AM1" s="108" t="s">
        <v>342</v>
      </c>
      <c r="AN1" s="108" t="s">
        <v>343</v>
      </c>
      <c r="AO1" s="108" t="s">
        <v>344</v>
      </c>
      <c r="AP1" s="108" t="s">
        <v>345</v>
      </c>
      <c r="AQ1" s="108" t="s">
        <v>346</v>
      </c>
      <c r="AR1" s="108" t="s">
        <v>347</v>
      </c>
      <c r="AS1" s="108" t="s">
        <v>348</v>
      </c>
      <c r="AT1" s="108" t="s">
        <v>349</v>
      </c>
      <c r="AU1" s="108" t="s">
        <v>350</v>
      </c>
      <c r="AV1" s="108" t="s">
        <v>351</v>
      </c>
      <c r="AW1" s="108" t="s">
        <v>352</v>
      </c>
      <c r="AX1" s="108" t="s">
        <v>353</v>
      </c>
      <c r="AY1" s="108" t="s">
        <v>354</v>
      </c>
      <c r="AZ1" s="108" t="s">
        <v>355</v>
      </c>
      <c r="BA1" s="108" t="s">
        <v>356</v>
      </c>
      <c r="BB1" s="108" t="s">
        <v>357</v>
      </c>
      <c r="BC1" s="108" t="s">
        <v>358</v>
      </c>
      <c r="BD1" s="108" t="s">
        <v>359</v>
      </c>
      <c r="BE1" s="108" t="s">
        <v>360</v>
      </c>
      <c r="BF1" s="108" t="s">
        <v>361</v>
      </c>
      <c r="BG1" s="108" t="s">
        <v>362</v>
      </c>
      <c r="BH1" s="108" t="s">
        <v>363</v>
      </c>
      <c r="BI1" s="108" t="s">
        <v>364</v>
      </c>
    </row>
    <row r="2" ht="22.5" customHeight="1">
      <c r="A2" s="109">
        <v>46252.73381832176</v>
      </c>
      <c r="B2" s="110" t="s">
        <v>281</v>
      </c>
      <c r="C2" s="111">
        <v>1.0</v>
      </c>
      <c r="D2" s="110" t="s">
        <v>365</v>
      </c>
      <c r="E2" s="111">
        <v>1.0</v>
      </c>
      <c r="F2" s="110" t="s">
        <v>366</v>
      </c>
      <c r="G2" s="111">
        <v>1.0</v>
      </c>
      <c r="H2" s="110" t="s">
        <v>367</v>
      </c>
      <c r="I2" s="111">
        <v>1.0</v>
      </c>
      <c r="J2" s="110" t="s">
        <v>368</v>
      </c>
      <c r="K2" s="111">
        <v>1.0</v>
      </c>
      <c r="L2" s="110" t="s">
        <v>369</v>
      </c>
      <c r="M2" s="111"/>
      <c r="N2" s="110" t="s">
        <v>280</v>
      </c>
      <c r="O2" s="111">
        <v>10.0</v>
      </c>
      <c r="P2" s="111"/>
      <c r="Q2" s="111">
        <v>10.0</v>
      </c>
      <c r="R2" s="111"/>
      <c r="S2" s="111">
        <v>10.0</v>
      </c>
      <c r="T2" s="111"/>
      <c r="U2" s="111">
        <v>10.0</v>
      </c>
      <c r="V2" s="111"/>
      <c r="W2" s="111">
        <v>10.0</v>
      </c>
      <c r="X2" s="110" t="s">
        <v>370</v>
      </c>
      <c r="Y2" s="111"/>
      <c r="Z2" s="110" t="s">
        <v>280</v>
      </c>
      <c r="AA2" s="111">
        <v>10.0</v>
      </c>
      <c r="AB2" s="111"/>
      <c r="AC2" s="111">
        <v>10.0</v>
      </c>
      <c r="AD2" s="111"/>
      <c r="AE2" s="111">
        <v>10.0</v>
      </c>
      <c r="AF2" s="111"/>
      <c r="AG2" s="111">
        <v>10.0</v>
      </c>
      <c r="AH2" s="111"/>
      <c r="AI2" s="111">
        <v>10.0</v>
      </c>
      <c r="AJ2" s="110" t="s">
        <v>370</v>
      </c>
      <c r="AK2" s="111"/>
      <c r="AL2" s="110" t="s">
        <v>280</v>
      </c>
      <c r="AM2" s="111">
        <v>10.0</v>
      </c>
      <c r="AN2" s="111"/>
      <c r="AO2" s="111">
        <v>10.0</v>
      </c>
      <c r="AP2" s="111"/>
      <c r="AQ2" s="111">
        <v>10.0</v>
      </c>
      <c r="AR2" s="111"/>
      <c r="AS2" s="111">
        <v>10.0</v>
      </c>
      <c r="AT2" s="111"/>
      <c r="AU2" s="111">
        <v>10.0</v>
      </c>
      <c r="AV2" s="110" t="s">
        <v>370</v>
      </c>
      <c r="AW2" s="111"/>
      <c r="AX2" s="110" t="s">
        <v>280</v>
      </c>
      <c r="AY2" s="111">
        <v>10.0</v>
      </c>
      <c r="AZ2" s="111"/>
      <c r="BA2" s="111">
        <v>10.0</v>
      </c>
      <c r="BB2" s="111"/>
      <c r="BC2" s="111">
        <v>10.0</v>
      </c>
      <c r="BD2" s="111"/>
      <c r="BE2" s="111">
        <v>10.0</v>
      </c>
      <c r="BF2" s="111"/>
      <c r="BG2" s="111">
        <v>10.0</v>
      </c>
      <c r="BH2" s="110" t="s">
        <v>370</v>
      </c>
      <c r="BI2" s="111"/>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8.86"/>
    <col customWidth="1" min="3" max="3" width="21.29"/>
    <col customWidth="1" min="4" max="4" width="18.86"/>
    <col customWidth="1" min="5" max="5" width="19.86"/>
    <col customWidth="1" min="6" max="6" width="21.0"/>
    <col customWidth="1" min="7" max="7" width="36.14"/>
    <col customWidth="1" min="8" max="8" width="26.29"/>
    <col customWidth="1" min="9" max="9" width="23.71"/>
    <col customWidth="1" min="10" max="10" width="26.29"/>
    <col customWidth="1" min="11" max="11" width="37.57"/>
    <col customWidth="1" min="12" max="12" width="28.86"/>
    <col customWidth="1" min="13" max="13" width="21.29"/>
    <col customWidth="1" min="14" max="14" width="18.86"/>
    <col customWidth="1" min="15" max="15" width="21.29"/>
    <col customWidth="1" min="16" max="16" width="18.86"/>
    <col customWidth="1" min="17" max="17" width="19.86"/>
    <col customWidth="1" min="18" max="18" width="21.0"/>
    <col customWidth="1" min="19" max="19" width="36.14"/>
    <col customWidth="1" min="20" max="20" width="26.29"/>
    <col customWidth="1" min="21" max="21" width="23.71"/>
    <col customWidth="1" min="22" max="22" width="26.29"/>
    <col customWidth="1" min="23" max="23" width="37.57"/>
    <col customWidth="1" min="24" max="24" width="28.86"/>
    <col customWidth="1" min="25" max="25" width="21.29"/>
    <col customWidth="1" min="26" max="26" width="18.86"/>
    <col customWidth="1" min="27" max="27" width="21.29"/>
    <col customWidth="1" min="28" max="28" width="18.86"/>
    <col customWidth="1" min="29" max="29" width="19.86"/>
    <col customWidth="1" min="30" max="30" width="21.0"/>
    <col customWidth="1" min="31" max="31" width="36.14"/>
    <col customWidth="1" min="32" max="32" width="26.29"/>
    <col customWidth="1" min="33" max="33" width="23.71"/>
    <col customWidth="1" min="34" max="34" width="26.29"/>
    <col customWidth="1" min="35" max="35" width="37.57"/>
    <col customWidth="1" min="36" max="36" width="28.86"/>
    <col customWidth="1" min="37" max="37" width="21.29"/>
    <col customWidth="1" min="38" max="38" width="18.86"/>
    <col customWidth="1" min="39" max="39" width="21.29"/>
    <col customWidth="1" min="40" max="40" width="18.86"/>
    <col customWidth="1" min="41" max="41" width="19.86"/>
    <col customWidth="1" min="42" max="42" width="21.0"/>
    <col customWidth="1" min="43" max="43" width="36.14"/>
    <col customWidth="1" min="44" max="44" width="26.29"/>
    <col customWidth="1" min="45" max="45" width="23.71"/>
    <col customWidth="1" min="46" max="46" width="26.29"/>
    <col customWidth="1" min="47" max="47" width="37.57"/>
    <col customWidth="1" min="48" max="48" width="28.86"/>
    <col customWidth="1" min="49" max="49" width="21.29"/>
    <col customWidth="1" min="50" max="50" width="18.86"/>
    <col customWidth="1" min="51" max="51" width="21.29"/>
    <col customWidth="1" min="52" max="52" width="18.86"/>
    <col customWidth="1" min="53" max="53" width="19.86"/>
    <col customWidth="1" min="54" max="54" width="21.0"/>
    <col customWidth="1" min="55" max="55" width="36.14"/>
    <col customWidth="1" min="56" max="56" width="26.29"/>
    <col customWidth="1" min="57" max="57" width="23.71"/>
    <col customWidth="1" min="58" max="58" width="26.29"/>
    <col customWidth="1" min="59" max="59" width="37.57"/>
    <col customWidth="1" min="60" max="60" width="28.86"/>
    <col customWidth="1" min="61" max="61" width="21.29"/>
  </cols>
  <sheetData>
    <row r="1" ht="22.5" customHeight="1">
      <c r="A1" s="108" t="s">
        <v>5</v>
      </c>
      <c r="B1" s="108" t="s">
        <v>12</v>
      </c>
      <c r="C1" s="108" t="s">
        <v>13</v>
      </c>
      <c r="D1" s="108" t="s">
        <v>14</v>
      </c>
      <c r="E1" s="108" t="s">
        <v>15</v>
      </c>
      <c r="F1" s="108" t="s">
        <v>16</v>
      </c>
      <c r="G1" s="108" t="s">
        <v>17</v>
      </c>
      <c r="H1" s="108" t="s">
        <v>18</v>
      </c>
      <c r="I1" s="108" t="s">
        <v>19</v>
      </c>
      <c r="J1" s="108" t="s">
        <v>20</v>
      </c>
      <c r="K1" s="108" t="s">
        <v>21</v>
      </c>
      <c r="L1" s="108" t="s">
        <v>22</v>
      </c>
      <c r="M1" s="108" t="s">
        <v>23</v>
      </c>
      <c r="N1" s="108" t="s">
        <v>317</v>
      </c>
      <c r="O1" s="108" t="s">
        <v>318</v>
      </c>
      <c r="P1" s="108" t="s">
        <v>319</v>
      </c>
      <c r="Q1" s="108" t="s">
        <v>320</v>
      </c>
      <c r="R1" s="108" t="s">
        <v>321</v>
      </c>
      <c r="S1" s="108" t="s">
        <v>322</v>
      </c>
      <c r="T1" s="108" t="s">
        <v>323</v>
      </c>
      <c r="U1" s="108" t="s">
        <v>324</v>
      </c>
      <c r="V1" s="108" t="s">
        <v>325</v>
      </c>
      <c r="W1" s="108" t="s">
        <v>326</v>
      </c>
      <c r="X1" s="108" t="s">
        <v>327</v>
      </c>
      <c r="Y1" s="108" t="s">
        <v>328</v>
      </c>
      <c r="Z1" s="108" t="s">
        <v>329</v>
      </c>
      <c r="AA1" s="108" t="s">
        <v>330</v>
      </c>
      <c r="AB1" s="108" t="s">
        <v>331</v>
      </c>
      <c r="AC1" s="108" t="s">
        <v>332</v>
      </c>
      <c r="AD1" s="108" t="s">
        <v>333</v>
      </c>
      <c r="AE1" s="108" t="s">
        <v>334</v>
      </c>
      <c r="AF1" s="108" t="s">
        <v>335</v>
      </c>
      <c r="AG1" s="108" t="s">
        <v>336</v>
      </c>
      <c r="AH1" s="108" t="s">
        <v>337</v>
      </c>
      <c r="AI1" s="108" t="s">
        <v>338</v>
      </c>
      <c r="AJ1" s="108" t="s">
        <v>339</v>
      </c>
      <c r="AK1" s="108" t="s">
        <v>340</v>
      </c>
      <c r="AL1" s="108" t="s">
        <v>341</v>
      </c>
      <c r="AM1" s="108" t="s">
        <v>342</v>
      </c>
      <c r="AN1" s="108" t="s">
        <v>343</v>
      </c>
      <c r="AO1" s="108" t="s">
        <v>344</v>
      </c>
      <c r="AP1" s="108" t="s">
        <v>345</v>
      </c>
      <c r="AQ1" s="108" t="s">
        <v>346</v>
      </c>
      <c r="AR1" s="108" t="s">
        <v>347</v>
      </c>
      <c r="AS1" s="108" t="s">
        <v>348</v>
      </c>
      <c r="AT1" s="108" t="s">
        <v>349</v>
      </c>
      <c r="AU1" s="108" t="s">
        <v>350</v>
      </c>
      <c r="AV1" s="108" t="s">
        <v>351</v>
      </c>
      <c r="AW1" s="108" t="s">
        <v>352</v>
      </c>
      <c r="AX1" s="108" t="s">
        <v>353</v>
      </c>
      <c r="AY1" s="108" t="s">
        <v>354</v>
      </c>
      <c r="AZ1" s="108" t="s">
        <v>355</v>
      </c>
      <c r="BA1" s="108" t="s">
        <v>356</v>
      </c>
      <c r="BB1" s="108" t="s">
        <v>357</v>
      </c>
      <c r="BC1" s="108" t="s">
        <v>358</v>
      </c>
      <c r="BD1" s="108" t="s">
        <v>359</v>
      </c>
      <c r="BE1" s="108" t="s">
        <v>360</v>
      </c>
      <c r="BF1" s="108" t="s">
        <v>361</v>
      </c>
      <c r="BG1" s="108" t="s">
        <v>362</v>
      </c>
      <c r="BH1" s="108" t="s">
        <v>363</v>
      </c>
      <c r="BI1" s="108" t="s">
        <v>364</v>
      </c>
    </row>
    <row r="2" ht="22.5" customHeight="1">
      <c r="A2" s="109">
        <v>46254.48195179398</v>
      </c>
      <c r="B2" s="110" t="s">
        <v>280</v>
      </c>
      <c r="C2" s="111">
        <v>10.0</v>
      </c>
      <c r="D2" s="111"/>
      <c r="E2" s="111">
        <v>10.0</v>
      </c>
      <c r="F2" s="111"/>
      <c r="G2" s="111">
        <v>10.0</v>
      </c>
      <c r="H2" s="111"/>
      <c r="I2" s="111">
        <v>9.0</v>
      </c>
      <c r="J2" s="110" t="s">
        <v>371</v>
      </c>
      <c r="K2" s="111">
        <v>10.0</v>
      </c>
      <c r="L2" s="110" t="s">
        <v>372</v>
      </c>
      <c r="M2" s="111"/>
      <c r="N2" s="110" t="s">
        <v>280</v>
      </c>
      <c r="O2" s="111">
        <v>7.0</v>
      </c>
      <c r="P2" s="110" t="s">
        <v>373</v>
      </c>
      <c r="Q2" s="111">
        <v>7.0</v>
      </c>
      <c r="R2" s="110" t="s">
        <v>374</v>
      </c>
      <c r="S2" s="111">
        <v>9.0</v>
      </c>
      <c r="T2" s="111"/>
      <c r="U2" s="111">
        <v>8.0</v>
      </c>
      <c r="V2" s="111"/>
      <c r="W2" s="111">
        <v>8.0</v>
      </c>
      <c r="X2" s="111"/>
      <c r="Y2" s="111"/>
      <c r="Z2" s="110" t="s">
        <v>280</v>
      </c>
      <c r="AA2" s="111">
        <v>10.0</v>
      </c>
      <c r="AB2" s="111"/>
      <c r="AC2" s="111">
        <v>9.0</v>
      </c>
      <c r="AD2" s="110" t="s">
        <v>375</v>
      </c>
      <c r="AE2" s="111">
        <v>10.0</v>
      </c>
      <c r="AF2" s="111"/>
      <c r="AG2" s="111">
        <v>10.0</v>
      </c>
      <c r="AH2" s="111"/>
      <c r="AI2" s="111">
        <v>10.0</v>
      </c>
      <c r="AJ2" s="111"/>
      <c r="AK2" s="111"/>
      <c r="AL2" s="110" t="s">
        <v>280</v>
      </c>
      <c r="AM2" s="111">
        <v>10.0</v>
      </c>
      <c r="AN2" s="111"/>
      <c r="AO2" s="111">
        <v>9.0</v>
      </c>
      <c r="AP2" s="110" t="s">
        <v>376</v>
      </c>
      <c r="AQ2" s="111">
        <v>10.0</v>
      </c>
      <c r="AR2" s="111"/>
      <c r="AS2" s="111">
        <v>10.0</v>
      </c>
      <c r="AT2" s="111"/>
      <c r="AU2" s="111">
        <v>10.0</v>
      </c>
      <c r="AV2" s="111"/>
      <c r="AW2" s="111"/>
      <c r="AX2" s="110" t="s">
        <v>281</v>
      </c>
      <c r="AY2" s="111">
        <v>2.0</v>
      </c>
      <c r="AZ2" s="110" t="s">
        <v>377</v>
      </c>
      <c r="BA2" s="111">
        <v>2.0</v>
      </c>
      <c r="BB2" s="110" t="s">
        <v>377</v>
      </c>
      <c r="BC2" s="111">
        <v>2.0</v>
      </c>
      <c r="BD2" s="110" t="s">
        <v>378</v>
      </c>
      <c r="BE2" s="111">
        <v>2.0</v>
      </c>
      <c r="BF2" s="110" t="s">
        <v>377</v>
      </c>
      <c r="BG2" s="111">
        <v>1.0</v>
      </c>
      <c r="BH2" s="111"/>
      <c r="BI2" s="111"/>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8.86"/>
    <col customWidth="1" min="3" max="3" width="21.29"/>
    <col customWidth="1" min="4" max="4" width="18.86"/>
    <col customWidth="1" min="5" max="5" width="19.86"/>
    <col customWidth="1" min="6" max="6" width="21.0"/>
    <col customWidth="1" min="7" max="7" width="36.14"/>
    <col customWidth="1" min="8" max="8" width="26.29"/>
    <col customWidth="1" min="9" max="9" width="23.71"/>
    <col customWidth="1" min="10" max="10" width="26.29"/>
    <col customWidth="1" min="11" max="11" width="37.57"/>
    <col customWidth="1" min="12" max="12" width="28.86"/>
    <col customWidth="1" min="13" max="13" width="21.29"/>
    <col customWidth="1" min="14" max="14" width="18.86"/>
    <col customWidth="1" min="15" max="15" width="21.29"/>
    <col customWidth="1" min="16" max="16" width="18.86"/>
    <col customWidth="1" min="17" max="17" width="19.86"/>
    <col customWidth="1" min="18" max="18" width="21.0"/>
    <col customWidth="1" min="19" max="19" width="36.14"/>
    <col customWidth="1" min="20" max="20" width="26.29"/>
    <col customWidth="1" min="21" max="21" width="23.71"/>
    <col customWidth="1" min="22" max="22" width="26.29"/>
    <col customWidth="1" min="23" max="23" width="37.57"/>
    <col customWidth="1" min="24" max="24" width="28.86"/>
    <col customWidth="1" min="25" max="25" width="21.29"/>
    <col customWidth="1" min="26" max="26" width="18.86"/>
    <col customWidth="1" min="27" max="27" width="21.29"/>
    <col customWidth="1" min="28" max="28" width="18.86"/>
    <col customWidth="1" min="29" max="29" width="19.86"/>
    <col customWidth="1" min="30" max="30" width="21.0"/>
    <col customWidth="1" min="31" max="31" width="36.14"/>
    <col customWidth="1" min="32" max="32" width="26.29"/>
    <col customWidth="1" min="33" max="33" width="23.71"/>
    <col customWidth="1" min="34" max="34" width="26.29"/>
    <col customWidth="1" min="35" max="35" width="37.57"/>
    <col customWidth="1" min="36" max="36" width="28.86"/>
    <col customWidth="1" min="37" max="37" width="21.29"/>
    <col customWidth="1" min="38" max="38" width="18.86"/>
    <col customWidth="1" min="39" max="39" width="21.29"/>
    <col customWidth="1" min="40" max="40" width="18.86"/>
    <col customWidth="1" min="41" max="41" width="19.86"/>
    <col customWidth="1" min="42" max="42" width="21.0"/>
    <col customWidth="1" min="43" max="43" width="36.14"/>
    <col customWidth="1" min="44" max="44" width="26.29"/>
    <col customWidth="1" min="45" max="45" width="23.71"/>
    <col customWidth="1" min="46" max="46" width="26.29"/>
    <col customWidth="1" min="47" max="47" width="37.57"/>
    <col customWidth="1" min="48" max="48" width="28.86"/>
    <col customWidth="1" min="49" max="49" width="21.29"/>
    <col customWidth="1" min="50" max="50" width="18.86"/>
    <col customWidth="1" min="51" max="51" width="21.29"/>
    <col customWidth="1" min="52" max="52" width="18.86"/>
    <col customWidth="1" min="53" max="53" width="19.86"/>
    <col customWidth="1" min="54" max="54" width="21.0"/>
    <col customWidth="1" min="55" max="55" width="36.14"/>
    <col customWidth="1" min="56" max="56" width="26.29"/>
    <col customWidth="1" min="57" max="57" width="23.71"/>
    <col customWidth="1" min="58" max="58" width="26.29"/>
    <col customWidth="1" min="59" max="59" width="37.57"/>
    <col customWidth="1" min="60" max="60" width="28.86"/>
    <col customWidth="1" min="61" max="61" width="21.29"/>
  </cols>
  <sheetData>
    <row r="1" ht="22.5" customHeight="1">
      <c r="A1" s="108" t="s">
        <v>5</v>
      </c>
      <c r="B1" s="108" t="s">
        <v>12</v>
      </c>
      <c r="C1" s="108" t="s">
        <v>13</v>
      </c>
      <c r="D1" s="108" t="s">
        <v>14</v>
      </c>
      <c r="E1" s="108" t="s">
        <v>15</v>
      </c>
      <c r="F1" s="108" t="s">
        <v>16</v>
      </c>
      <c r="G1" s="108" t="s">
        <v>17</v>
      </c>
      <c r="H1" s="108" t="s">
        <v>18</v>
      </c>
      <c r="I1" s="108" t="s">
        <v>19</v>
      </c>
      <c r="J1" s="108" t="s">
        <v>20</v>
      </c>
      <c r="K1" s="108" t="s">
        <v>21</v>
      </c>
      <c r="L1" s="108" t="s">
        <v>22</v>
      </c>
      <c r="M1" s="108" t="s">
        <v>23</v>
      </c>
      <c r="N1" s="108" t="s">
        <v>12</v>
      </c>
      <c r="O1" s="108" t="s">
        <v>13</v>
      </c>
      <c r="P1" s="108" t="s">
        <v>14</v>
      </c>
      <c r="Q1" s="108" t="s">
        <v>15</v>
      </c>
      <c r="R1" s="108" t="s">
        <v>16</v>
      </c>
      <c r="S1" s="108" t="s">
        <v>17</v>
      </c>
      <c r="T1" s="108" t="s">
        <v>18</v>
      </c>
      <c r="U1" s="108" t="s">
        <v>19</v>
      </c>
      <c r="V1" s="108" t="s">
        <v>20</v>
      </c>
      <c r="W1" s="108" t="s">
        <v>21</v>
      </c>
      <c r="X1" s="108" t="s">
        <v>22</v>
      </c>
      <c r="Y1" s="108" t="s">
        <v>23</v>
      </c>
      <c r="Z1" s="108" t="s">
        <v>12</v>
      </c>
      <c r="AA1" s="108" t="s">
        <v>13</v>
      </c>
      <c r="AB1" s="108" t="s">
        <v>14</v>
      </c>
      <c r="AC1" s="108" t="s">
        <v>15</v>
      </c>
      <c r="AD1" s="108" t="s">
        <v>16</v>
      </c>
      <c r="AE1" s="108" t="s">
        <v>17</v>
      </c>
      <c r="AF1" s="108" t="s">
        <v>18</v>
      </c>
      <c r="AG1" s="108" t="s">
        <v>19</v>
      </c>
      <c r="AH1" s="108" t="s">
        <v>20</v>
      </c>
      <c r="AI1" s="108" t="s">
        <v>21</v>
      </c>
      <c r="AJ1" s="108" t="s">
        <v>22</v>
      </c>
      <c r="AK1" s="108" t="s">
        <v>23</v>
      </c>
      <c r="AL1" s="108" t="s">
        <v>12</v>
      </c>
      <c r="AM1" s="108" t="s">
        <v>13</v>
      </c>
      <c r="AN1" s="108" t="s">
        <v>14</v>
      </c>
      <c r="AO1" s="108" t="s">
        <v>15</v>
      </c>
      <c r="AP1" s="108" t="s">
        <v>16</v>
      </c>
      <c r="AQ1" s="108" t="s">
        <v>17</v>
      </c>
      <c r="AR1" s="108" t="s">
        <v>18</v>
      </c>
      <c r="AS1" s="108" t="s">
        <v>19</v>
      </c>
      <c r="AT1" s="108" t="s">
        <v>20</v>
      </c>
      <c r="AU1" s="108" t="s">
        <v>21</v>
      </c>
      <c r="AV1" s="108" t="s">
        <v>22</v>
      </c>
      <c r="AW1" s="108" t="s">
        <v>23</v>
      </c>
      <c r="AX1" s="108" t="s">
        <v>12</v>
      </c>
      <c r="AY1" s="108" t="s">
        <v>13</v>
      </c>
      <c r="AZ1" s="108" t="s">
        <v>14</v>
      </c>
      <c r="BA1" s="108" t="s">
        <v>15</v>
      </c>
      <c r="BB1" s="108" t="s">
        <v>16</v>
      </c>
      <c r="BC1" s="108" t="s">
        <v>17</v>
      </c>
      <c r="BD1" s="108" t="s">
        <v>18</v>
      </c>
      <c r="BE1" s="108" t="s">
        <v>19</v>
      </c>
      <c r="BF1" s="108" t="s">
        <v>20</v>
      </c>
      <c r="BG1" s="108" t="s">
        <v>21</v>
      </c>
      <c r="BH1" s="108" t="s">
        <v>22</v>
      </c>
      <c r="BI1" s="108" t="s">
        <v>23</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8.86"/>
    <col customWidth="1" min="3" max="3" width="21.29"/>
    <col customWidth="1" min="4" max="4" width="18.86"/>
    <col customWidth="1" min="5" max="5" width="19.86"/>
    <col customWidth="1" min="6" max="6" width="21.0"/>
    <col customWidth="1" min="7" max="7" width="36.14"/>
    <col customWidth="1" min="8" max="8" width="26.29"/>
    <col customWidth="1" min="9" max="9" width="23.71"/>
    <col customWidth="1" min="10" max="10" width="26.29"/>
    <col customWidth="1" min="11" max="11" width="37.57"/>
    <col customWidth="1" min="12" max="12" width="28.86"/>
    <col customWidth="1" min="13" max="13" width="21.29"/>
    <col customWidth="1" min="14" max="14" width="18.86"/>
    <col customWidth="1" min="15" max="15" width="21.29"/>
    <col customWidth="1" min="16" max="16" width="18.86"/>
    <col customWidth="1" min="17" max="17" width="19.86"/>
    <col customWidth="1" min="18" max="18" width="21.0"/>
    <col customWidth="1" min="19" max="19" width="36.14"/>
    <col customWidth="1" min="20" max="20" width="26.29"/>
    <col customWidth="1" min="21" max="21" width="23.71"/>
    <col customWidth="1" min="22" max="22" width="26.29"/>
    <col customWidth="1" min="23" max="23" width="37.57"/>
    <col customWidth="1" min="24" max="24" width="28.86"/>
    <col customWidth="1" min="25" max="25" width="21.29"/>
    <col customWidth="1" min="26" max="26" width="18.86"/>
    <col customWidth="1" min="27" max="27" width="21.29"/>
    <col customWidth="1" min="28" max="28" width="18.86"/>
    <col customWidth="1" min="29" max="29" width="19.86"/>
    <col customWidth="1" min="30" max="30" width="21.0"/>
    <col customWidth="1" min="31" max="31" width="36.14"/>
    <col customWidth="1" min="32" max="32" width="26.29"/>
    <col customWidth="1" min="33" max="33" width="23.71"/>
    <col customWidth="1" min="34" max="34" width="26.29"/>
    <col customWidth="1" min="35" max="35" width="37.57"/>
    <col customWidth="1" min="36" max="36" width="28.86"/>
    <col customWidth="1" min="37" max="37" width="21.29"/>
    <col customWidth="1" min="38" max="38" width="18.86"/>
    <col customWidth="1" min="39" max="39" width="21.29"/>
    <col customWidth="1" min="40" max="40" width="18.86"/>
    <col customWidth="1" min="41" max="41" width="19.86"/>
    <col customWidth="1" min="42" max="42" width="21.0"/>
    <col customWidth="1" min="43" max="43" width="36.14"/>
    <col customWidth="1" min="44" max="44" width="26.29"/>
    <col customWidth="1" min="45" max="45" width="23.71"/>
    <col customWidth="1" min="46" max="46" width="26.29"/>
    <col customWidth="1" min="47" max="47" width="37.57"/>
    <col customWidth="1" min="48" max="48" width="28.86"/>
    <col customWidth="1" min="49" max="49" width="21.29"/>
    <col customWidth="1" min="50" max="50" width="18.86"/>
    <col customWidth="1" min="51" max="51" width="21.29"/>
    <col customWidth="1" min="52" max="52" width="18.86"/>
    <col customWidth="1" min="53" max="53" width="19.86"/>
    <col customWidth="1" min="54" max="54" width="21.0"/>
    <col customWidth="1" min="55" max="55" width="36.14"/>
    <col customWidth="1" min="56" max="56" width="26.29"/>
    <col customWidth="1" min="57" max="57" width="23.71"/>
    <col customWidth="1" min="58" max="58" width="26.29"/>
    <col customWidth="1" min="59" max="59" width="37.57"/>
    <col customWidth="1" min="60" max="60" width="28.86"/>
    <col customWidth="1" min="61" max="61" width="21.29"/>
  </cols>
  <sheetData>
    <row r="1" ht="22.5" customHeight="1">
      <c r="A1" s="108" t="s">
        <v>5</v>
      </c>
      <c r="B1" s="108" t="s">
        <v>12</v>
      </c>
      <c r="C1" s="108" t="s">
        <v>13</v>
      </c>
      <c r="D1" s="108" t="s">
        <v>14</v>
      </c>
      <c r="E1" s="108" t="s">
        <v>15</v>
      </c>
      <c r="F1" s="108" t="s">
        <v>16</v>
      </c>
      <c r="G1" s="108" t="s">
        <v>17</v>
      </c>
      <c r="H1" s="108" t="s">
        <v>18</v>
      </c>
      <c r="I1" s="108" t="s">
        <v>19</v>
      </c>
      <c r="J1" s="108" t="s">
        <v>20</v>
      </c>
      <c r="K1" s="108" t="s">
        <v>21</v>
      </c>
      <c r="L1" s="108" t="s">
        <v>22</v>
      </c>
      <c r="M1" s="108" t="s">
        <v>23</v>
      </c>
      <c r="N1" s="108" t="s">
        <v>317</v>
      </c>
      <c r="O1" s="108" t="s">
        <v>318</v>
      </c>
      <c r="P1" s="108" t="s">
        <v>319</v>
      </c>
      <c r="Q1" s="108" t="s">
        <v>320</v>
      </c>
      <c r="R1" s="108" t="s">
        <v>321</v>
      </c>
      <c r="S1" s="108" t="s">
        <v>322</v>
      </c>
      <c r="T1" s="108" t="s">
        <v>323</v>
      </c>
      <c r="U1" s="108" t="s">
        <v>324</v>
      </c>
      <c r="V1" s="108" t="s">
        <v>325</v>
      </c>
      <c r="W1" s="108" t="s">
        <v>326</v>
      </c>
      <c r="X1" s="108" t="s">
        <v>327</v>
      </c>
      <c r="Y1" s="108" t="s">
        <v>328</v>
      </c>
      <c r="Z1" s="108" t="s">
        <v>329</v>
      </c>
      <c r="AA1" s="108" t="s">
        <v>330</v>
      </c>
      <c r="AB1" s="108" t="s">
        <v>331</v>
      </c>
      <c r="AC1" s="108" t="s">
        <v>332</v>
      </c>
      <c r="AD1" s="108" t="s">
        <v>333</v>
      </c>
      <c r="AE1" s="108" t="s">
        <v>334</v>
      </c>
      <c r="AF1" s="108" t="s">
        <v>335</v>
      </c>
      <c r="AG1" s="108" t="s">
        <v>336</v>
      </c>
      <c r="AH1" s="108" t="s">
        <v>337</v>
      </c>
      <c r="AI1" s="108" t="s">
        <v>338</v>
      </c>
      <c r="AJ1" s="108" t="s">
        <v>339</v>
      </c>
      <c r="AK1" s="108" t="s">
        <v>340</v>
      </c>
      <c r="AL1" s="108" t="s">
        <v>341</v>
      </c>
      <c r="AM1" s="108" t="s">
        <v>342</v>
      </c>
      <c r="AN1" s="108" t="s">
        <v>343</v>
      </c>
      <c r="AO1" s="108" t="s">
        <v>344</v>
      </c>
      <c r="AP1" s="108" t="s">
        <v>345</v>
      </c>
      <c r="AQ1" s="108" t="s">
        <v>346</v>
      </c>
      <c r="AR1" s="108" t="s">
        <v>347</v>
      </c>
      <c r="AS1" s="108" t="s">
        <v>348</v>
      </c>
      <c r="AT1" s="108" t="s">
        <v>349</v>
      </c>
      <c r="AU1" s="108" t="s">
        <v>350</v>
      </c>
      <c r="AV1" s="108" t="s">
        <v>351</v>
      </c>
      <c r="AW1" s="108" t="s">
        <v>352</v>
      </c>
      <c r="AX1" s="108" t="s">
        <v>353</v>
      </c>
      <c r="AY1" s="108" t="s">
        <v>354</v>
      </c>
      <c r="AZ1" s="108" t="s">
        <v>355</v>
      </c>
      <c r="BA1" s="108" t="s">
        <v>356</v>
      </c>
      <c r="BB1" s="108" t="s">
        <v>357</v>
      </c>
      <c r="BC1" s="108" t="s">
        <v>358</v>
      </c>
      <c r="BD1" s="108" t="s">
        <v>359</v>
      </c>
      <c r="BE1" s="108" t="s">
        <v>360</v>
      </c>
      <c r="BF1" s="108" t="s">
        <v>361</v>
      </c>
      <c r="BG1" s="108" t="s">
        <v>362</v>
      </c>
      <c r="BH1" s="108" t="s">
        <v>363</v>
      </c>
      <c r="BI1" s="108" t="s">
        <v>364</v>
      </c>
    </row>
    <row r="2" ht="22.5" customHeight="1">
      <c r="A2" s="109">
        <v>46253.317187175926</v>
      </c>
      <c r="B2" s="110" t="s">
        <v>280</v>
      </c>
      <c r="C2" s="111">
        <v>9.0</v>
      </c>
      <c r="D2" s="111"/>
      <c r="E2" s="111">
        <v>9.0</v>
      </c>
      <c r="F2" s="111"/>
      <c r="G2" s="111">
        <v>10.0</v>
      </c>
      <c r="H2" s="111"/>
      <c r="I2" s="111">
        <v>10.0</v>
      </c>
      <c r="J2" s="111"/>
      <c r="K2" s="111">
        <v>10.0</v>
      </c>
      <c r="L2" s="110" t="s">
        <v>372</v>
      </c>
      <c r="M2" s="111"/>
      <c r="N2" s="110" t="s">
        <v>280</v>
      </c>
      <c r="O2" s="111">
        <v>10.0</v>
      </c>
      <c r="P2" s="111"/>
      <c r="Q2" s="111">
        <v>10.0</v>
      </c>
      <c r="R2" s="111"/>
      <c r="S2" s="111">
        <v>6.0</v>
      </c>
      <c r="T2" s="110" t="s">
        <v>379</v>
      </c>
      <c r="U2" s="111">
        <v>10.0</v>
      </c>
      <c r="V2" s="111"/>
      <c r="W2" s="111">
        <v>10.0</v>
      </c>
      <c r="X2" s="111"/>
      <c r="Y2" s="111"/>
      <c r="Z2" s="110" t="s">
        <v>281</v>
      </c>
      <c r="AA2" s="111">
        <v>4.0</v>
      </c>
      <c r="AB2" s="110" t="s">
        <v>380</v>
      </c>
      <c r="AC2" s="111">
        <v>4.0</v>
      </c>
      <c r="AD2" s="111"/>
      <c r="AE2" s="111">
        <v>10.0</v>
      </c>
      <c r="AF2" s="111"/>
      <c r="AG2" s="111">
        <v>4.0</v>
      </c>
      <c r="AH2" s="111"/>
      <c r="AI2" s="111">
        <v>4.0</v>
      </c>
      <c r="AJ2" s="111"/>
      <c r="AK2" s="111"/>
      <c r="AL2" s="110" t="s">
        <v>280</v>
      </c>
      <c r="AM2" s="111">
        <v>10.0</v>
      </c>
      <c r="AN2" s="111"/>
      <c r="AO2" s="111">
        <v>10.0</v>
      </c>
      <c r="AP2" s="111"/>
      <c r="AQ2" s="111">
        <v>10.0</v>
      </c>
      <c r="AR2" s="111"/>
      <c r="AS2" s="111">
        <v>10.0</v>
      </c>
      <c r="AT2" s="111"/>
      <c r="AU2" s="111">
        <v>10.0</v>
      </c>
      <c r="AV2" s="111"/>
      <c r="AW2" s="111"/>
      <c r="AX2" s="110" t="s">
        <v>280</v>
      </c>
      <c r="AY2" s="111">
        <v>10.0</v>
      </c>
      <c r="AZ2" s="111"/>
      <c r="BA2" s="111">
        <v>10.0</v>
      </c>
      <c r="BB2" s="111"/>
      <c r="BC2" s="111">
        <v>10.0</v>
      </c>
      <c r="BD2" s="111"/>
      <c r="BE2" s="111">
        <v>10.0</v>
      </c>
      <c r="BF2" s="111"/>
      <c r="BG2" s="111">
        <v>10.0</v>
      </c>
      <c r="BH2" s="111"/>
      <c r="BI2" s="111"/>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8.86"/>
    <col customWidth="1" min="3" max="3" width="21.29"/>
    <col customWidth="1" min="4" max="4" width="18.86"/>
    <col customWidth="1" min="5" max="5" width="19.86"/>
    <col customWidth="1" min="6" max="6" width="21.0"/>
    <col customWidth="1" min="7" max="7" width="36.14"/>
    <col customWidth="1" min="8" max="8" width="26.29"/>
    <col customWidth="1" min="9" max="9" width="23.71"/>
    <col customWidth="1" min="10" max="10" width="26.29"/>
    <col customWidth="1" min="11" max="11" width="37.57"/>
    <col customWidth="1" min="12" max="12" width="28.86"/>
    <col customWidth="1" min="13" max="13" width="21.29"/>
    <col customWidth="1" min="14" max="14" width="18.86"/>
    <col customWidth="1" min="15" max="15" width="21.29"/>
    <col customWidth="1" min="16" max="16" width="18.86"/>
    <col customWidth="1" min="17" max="17" width="19.86"/>
    <col customWidth="1" min="18" max="18" width="21.0"/>
    <col customWidth="1" min="19" max="19" width="36.14"/>
    <col customWidth="1" min="20" max="20" width="26.29"/>
    <col customWidth="1" min="21" max="21" width="23.71"/>
    <col customWidth="1" min="22" max="22" width="26.29"/>
    <col customWidth="1" min="23" max="23" width="37.57"/>
    <col customWidth="1" min="24" max="24" width="28.86"/>
    <col customWidth="1" min="25" max="25" width="21.29"/>
    <col customWidth="1" min="26" max="26" width="18.86"/>
    <col customWidth="1" min="27" max="27" width="21.29"/>
    <col customWidth="1" min="28" max="28" width="18.86"/>
    <col customWidth="1" min="29" max="29" width="19.86"/>
    <col customWidth="1" min="30" max="30" width="21.0"/>
    <col customWidth="1" min="31" max="31" width="36.14"/>
    <col customWidth="1" min="32" max="32" width="26.29"/>
    <col customWidth="1" min="33" max="33" width="23.71"/>
    <col customWidth="1" min="34" max="34" width="26.29"/>
    <col customWidth="1" min="35" max="35" width="37.57"/>
    <col customWidth="1" min="36" max="36" width="28.86"/>
    <col customWidth="1" min="37" max="37" width="21.29"/>
    <col customWidth="1" min="38" max="38" width="18.86"/>
    <col customWidth="1" min="39" max="39" width="21.29"/>
    <col customWidth="1" min="40" max="40" width="18.86"/>
    <col customWidth="1" min="41" max="41" width="19.86"/>
    <col customWidth="1" min="42" max="42" width="21.0"/>
    <col customWidth="1" min="43" max="43" width="36.14"/>
    <col customWidth="1" min="44" max="44" width="26.29"/>
    <col customWidth="1" min="45" max="45" width="23.71"/>
    <col customWidth="1" min="46" max="46" width="26.29"/>
    <col customWidth="1" min="47" max="47" width="37.57"/>
    <col customWidth="1" min="48" max="48" width="28.86"/>
    <col customWidth="1" min="49" max="49" width="21.29"/>
    <col customWidth="1" min="50" max="50" width="18.86"/>
    <col customWidth="1" min="51" max="51" width="21.29"/>
    <col customWidth="1" min="52" max="52" width="18.86"/>
    <col customWidth="1" min="53" max="53" width="19.86"/>
    <col customWidth="1" min="54" max="54" width="21.0"/>
    <col customWidth="1" min="55" max="55" width="36.14"/>
    <col customWidth="1" min="56" max="56" width="26.29"/>
    <col customWidth="1" min="57" max="57" width="23.71"/>
    <col customWidth="1" min="58" max="58" width="26.29"/>
    <col customWidth="1" min="59" max="59" width="37.57"/>
    <col customWidth="1" min="60" max="60" width="28.86"/>
    <col customWidth="1" min="61" max="61" width="21.29"/>
  </cols>
  <sheetData>
    <row r="1" ht="22.5" customHeight="1">
      <c r="A1" s="108" t="s">
        <v>5</v>
      </c>
      <c r="B1" s="108" t="s">
        <v>12</v>
      </c>
      <c r="C1" s="108" t="s">
        <v>13</v>
      </c>
      <c r="D1" s="108" t="s">
        <v>14</v>
      </c>
      <c r="E1" s="108" t="s">
        <v>15</v>
      </c>
      <c r="F1" s="108" t="s">
        <v>16</v>
      </c>
      <c r="G1" s="108" t="s">
        <v>17</v>
      </c>
      <c r="H1" s="108" t="s">
        <v>18</v>
      </c>
      <c r="I1" s="108" t="s">
        <v>19</v>
      </c>
      <c r="J1" s="108" t="s">
        <v>20</v>
      </c>
      <c r="K1" s="108" t="s">
        <v>21</v>
      </c>
      <c r="L1" s="108" t="s">
        <v>22</v>
      </c>
      <c r="M1" s="108" t="s">
        <v>23</v>
      </c>
      <c r="N1" s="108" t="s">
        <v>12</v>
      </c>
      <c r="O1" s="108" t="s">
        <v>13</v>
      </c>
      <c r="P1" s="108" t="s">
        <v>14</v>
      </c>
      <c r="Q1" s="108" t="s">
        <v>15</v>
      </c>
      <c r="R1" s="108" t="s">
        <v>16</v>
      </c>
      <c r="S1" s="108" t="s">
        <v>17</v>
      </c>
      <c r="T1" s="108" t="s">
        <v>18</v>
      </c>
      <c r="U1" s="108" t="s">
        <v>19</v>
      </c>
      <c r="V1" s="108" t="s">
        <v>20</v>
      </c>
      <c r="W1" s="108" t="s">
        <v>21</v>
      </c>
      <c r="X1" s="108" t="s">
        <v>22</v>
      </c>
      <c r="Y1" s="108" t="s">
        <v>23</v>
      </c>
      <c r="Z1" s="108" t="s">
        <v>12</v>
      </c>
      <c r="AA1" s="108" t="s">
        <v>13</v>
      </c>
      <c r="AB1" s="108" t="s">
        <v>14</v>
      </c>
      <c r="AC1" s="108" t="s">
        <v>15</v>
      </c>
      <c r="AD1" s="108" t="s">
        <v>16</v>
      </c>
      <c r="AE1" s="108" t="s">
        <v>17</v>
      </c>
      <c r="AF1" s="108" t="s">
        <v>18</v>
      </c>
      <c r="AG1" s="108" t="s">
        <v>19</v>
      </c>
      <c r="AH1" s="108" t="s">
        <v>20</v>
      </c>
      <c r="AI1" s="108" t="s">
        <v>21</v>
      </c>
      <c r="AJ1" s="108" t="s">
        <v>22</v>
      </c>
      <c r="AK1" s="108" t="s">
        <v>23</v>
      </c>
      <c r="AL1" s="108" t="s">
        <v>12</v>
      </c>
      <c r="AM1" s="108" t="s">
        <v>13</v>
      </c>
      <c r="AN1" s="108" t="s">
        <v>14</v>
      </c>
      <c r="AO1" s="108" t="s">
        <v>15</v>
      </c>
      <c r="AP1" s="108" t="s">
        <v>16</v>
      </c>
      <c r="AQ1" s="108" t="s">
        <v>17</v>
      </c>
      <c r="AR1" s="108" t="s">
        <v>18</v>
      </c>
      <c r="AS1" s="108" t="s">
        <v>19</v>
      </c>
      <c r="AT1" s="108" t="s">
        <v>20</v>
      </c>
      <c r="AU1" s="108" t="s">
        <v>21</v>
      </c>
      <c r="AV1" s="108" t="s">
        <v>22</v>
      </c>
      <c r="AW1" s="108" t="s">
        <v>23</v>
      </c>
      <c r="AX1" s="108" t="s">
        <v>12</v>
      </c>
      <c r="AY1" s="108" t="s">
        <v>13</v>
      </c>
      <c r="AZ1" s="108" t="s">
        <v>14</v>
      </c>
      <c r="BA1" s="108" t="s">
        <v>15</v>
      </c>
      <c r="BB1" s="108" t="s">
        <v>16</v>
      </c>
      <c r="BC1" s="108" t="s">
        <v>17</v>
      </c>
      <c r="BD1" s="108" t="s">
        <v>18</v>
      </c>
      <c r="BE1" s="108" t="s">
        <v>19</v>
      </c>
      <c r="BF1" s="108" t="s">
        <v>20</v>
      </c>
      <c r="BG1" s="108" t="s">
        <v>21</v>
      </c>
      <c r="BH1" s="108" t="s">
        <v>22</v>
      </c>
      <c r="BI1" s="108" t="s">
        <v>23</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8.86"/>
    <col customWidth="1" min="3" max="3" width="21.29"/>
    <col customWidth="1" min="4" max="4" width="18.86"/>
    <col customWidth="1" min="5" max="5" width="19.86"/>
    <col customWidth="1" min="6" max="6" width="21.0"/>
    <col customWidth="1" min="7" max="7" width="36.14"/>
    <col customWidth="1" min="8" max="8" width="26.29"/>
    <col customWidth="1" min="9" max="9" width="23.71"/>
    <col customWidth="1" min="10" max="10" width="26.29"/>
    <col customWidth="1" min="11" max="11" width="37.57"/>
    <col customWidth="1" min="12" max="12" width="28.86"/>
    <col customWidth="1" min="13" max="13" width="21.29"/>
    <col customWidth="1" min="14" max="14" width="18.86"/>
    <col customWidth="1" min="15" max="15" width="21.29"/>
    <col customWidth="1" min="16" max="16" width="18.86"/>
    <col customWidth="1" min="17" max="17" width="19.86"/>
    <col customWidth="1" min="18" max="18" width="21.0"/>
    <col customWidth="1" min="19" max="19" width="36.14"/>
    <col customWidth="1" min="20" max="20" width="26.29"/>
    <col customWidth="1" min="21" max="21" width="23.71"/>
    <col customWidth="1" min="22" max="22" width="26.29"/>
    <col customWidth="1" min="23" max="23" width="37.57"/>
    <col customWidth="1" min="24" max="24" width="28.86"/>
    <col customWidth="1" min="25" max="25" width="21.29"/>
    <col customWidth="1" min="26" max="26" width="18.86"/>
    <col customWidth="1" min="27" max="27" width="21.29"/>
    <col customWidth="1" min="28" max="28" width="18.86"/>
    <col customWidth="1" min="29" max="29" width="19.86"/>
    <col customWidth="1" min="30" max="30" width="21.0"/>
    <col customWidth="1" min="31" max="31" width="36.14"/>
    <col customWidth="1" min="32" max="32" width="26.29"/>
    <col customWidth="1" min="33" max="33" width="23.71"/>
    <col customWidth="1" min="34" max="34" width="26.29"/>
    <col customWidth="1" min="35" max="35" width="37.57"/>
    <col customWidth="1" min="36" max="36" width="28.86"/>
    <col customWidth="1" min="37" max="37" width="21.29"/>
    <col customWidth="1" min="38" max="38" width="18.86"/>
    <col customWidth="1" min="39" max="39" width="21.29"/>
    <col customWidth="1" min="40" max="40" width="18.86"/>
    <col customWidth="1" min="41" max="41" width="19.86"/>
    <col customWidth="1" min="42" max="42" width="21.0"/>
    <col customWidth="1" min="43" max="43" width="36.14"/>
    <col customWidth="1" min="44" max="44" width="26.29"/>
    <col customWidth="1" min="45" max="45" width="23.71"/>
    <col customWidth="1" min="46" max="46" width="26.29"/>
    <col customWidth="1" min="47" max="47" width="37.57"/>
    <col customWidth="1" min="48" max="48" width="28.86"/>
    <col customWidth="1" min="49" max="49" width="21.29"/>
    <col customWidth="1" min="50" max="50" width="18.86"/>
    <col customWidth="1" min="51" max="51" width="21.29"/>
    <col customWidth="1" min="52" max="52" width="18.86"/>
    <col customWidth="1" min="53" max="53" width="19.86"/>
    <col customWidth="1" min="54" max="54" width="21.0"/>
    <col customWidth="1" min="55" max="55" width="36.14"/>
    <col customWidth="1" min="56" max="56" width="26.29"/>
    <col customWidth="1" min="57" max="57" width="23.71"/>
    <col customWidth="1" min="58" max="58" width="26.29"/>
    <col customWidth="1" min="59" max="59" width="37.57"/>
    <col customWidth="1" min="60" max="60" width="28.86"/>
    <col customWidth="1" min="61" max="61" width="21.29"/>
  </cols>
  <sheetData>
    <row r="1" ht="22.5" customHeight="1">
      <c r="A1" s="108" t="s">
        <v>5</v>
      </c>
      <c r="B1" s="108" t="s">
        <v>12</v>
      </c>
      <c r="C1" s="108" t="s">
        <v>13</v>
      </c>
      <c r="D1" s="108" t="s">
        <v>14</v>
      </c>
      <c r="E1" s="108" t="s">
        <v>15</v>
      </c>
      <c r="F1" s="108" t="s">
        <v>16</v>
      </c>
      <c r="G1" s="108" t="s">
        <v>17</v>
      </c>
      <c r="H1" s="108" t="s">
        <v>18</v>
      </c>
      <c r="I1" s="108" t="s">
        <v>19</v>
      </c>
      <c r="J1" s="108" t="s">
        <v>20</v>
      </c>
      <c r="K1" s="108" t="s">
        <v>21</v>
      </c>
      <c r="L1" s="108" t="s">
        <v>22</v>
      </c>
      <c r="M1" s="108" t="s">
        <v>23</v>
      </c>
      <c r="N1" s="108" t="s">
        <v>317</v>
      </c>
      <c r="O1" s="108" t="s">
        <v>318</v>
      </c>
      <c r="P1" s="108" t="s">
        <v>319</v>
      </c>
      <c r="Q1" s="108" t="s">
        <v>320</v>
      </c>
      <c r="R1" s="108" t="s">
        <v>321</v>
      </c>
      <c r="S1" s="108" t="s">
        <v>322</v>
      </c>
      <c r="T1" s="108" t="s">
        <v>323</v>
      </c>
      <c r="U1" s="108" t="s">
        <v>324</v>
      </c>
      <c r="V1" s="108" t="s">
        <v>325</v>
      </c>
      <c r="W1" s="108" t="s">
        <v>326</v>
      </c>
      <c r="X1" s="108" t="s">
        <v>327</v>
      </c>
      <c r="Y1" s="108" t="s">
        <v>328</v>
      </c>
      <c r="Z1" s="108" t="s">
        <v>329</v>
      </c>
      <c r="AA1" s="108" t="s">
        <v>330</v>
      </c>
      <c r="AB1" s="108" t="s">
        <v>331</v>
      </c>
      <c r="AC1" s="108" t="s">
        <v>332</v>
      </c>
      <c r="AD1" s="108" t="s">
        <v>333</v>
      </c>
      <c r="AE1" s="108" t="s">
        <v>334</v>
      </c>
      <c r="AF1" s="108" t="s">
        <v>335</v>
      </c>
      <c r="AG1" s="108" t="s">
        <v>336</v>
      </c>
      <c r="AH1" s="108" t="s">
        <v>337</v>
      </c>
      <c r="AI1" s="108" t="s">
        <v>338</v>
      </c>
      <c r="AJ1" s="108" t="s">
        <v>339</v>
      </c>
      <c r="AK1" s="108" t="s">
        <v>340</v>
      </c>
      <c r="AL1" s="108" t="s">
        <v>341</v>
      </c>
      <c r="AM1" s="108" t="s">
        <v>342</v>
      </c>
      <c r="AN1" s="108" t="s">
        <v>343</v>
      </c>
      <c r="AO1" s="108" t="s">
        <v>344</v>
      </c>
      <c r="AP1" s="108" t="s">
        <v>345</v>
      </c>
      <c r="AQ1" s="108" t="s">
        <v>346</v>
      </c>
      <c r="AR1" s="108" t="s">
        <v>347</v>
      </c>
      <c r="AS1" s="108" t="s">
        <v>348</v>
      </c>
      <c r="AT1" s="108" t="s">
        <v>349</v>
      </c>
      <c r="AU1" s="108" t="s">
        <v>350</v>
      </c>
      <c r="AV1" s="108" t="s">
        <v>351</v>
      </c>
      <c r="AW1" s="108" t="s">
        <v>352</v>
      </c>
      <c r="AX1" s="108" t="s">
        <v>353</v>
      </c>
      <c r="AY1" s="108" t="s">
        <v>354</v>
      </c>
      <c r="AZ1" s="108" t="s">
        <v>355</v>
      </c>
      <c r="BA1" s="108" t="s">
        <v>356</v>
      </c>
      <c r="BB1" s="108" t="s">
        <v>357</v>
      </c>
      <c r="BC1" s="108" t="s">
        <v>358</v>
      </c>
      <c r="BD1" s="108" t="s">
        <v>359</v>
      </c>
      <c r="BE1" s="108" t="s">
        <v>360</v>
      </c>
      <c r="BF1" s="108" t="s">
        <v>361</v>
      </c>
      <c r="BG1" s="108" t="s">
        <v>362</v>
      </c>
      <c r="BH1" s="108" t="s">
        <v>363</v>
      </c>
      <c r="BI1" s="108" t="s">
        <v>364</v>
      </c>
    </row>
    <row r="2" ht="22.5" customHeight="1">
      <c r="A2" s="109"/>
      <c r="B2" s="111"/>
      <c r="C2" s="111"/>
      <c r="D2" s="111"/>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c r="AZ2" s="111"/>
      <c r="BA2" s="111"/>
      <c r="BB2" s="111"/>
      <c r="BC2" s="111"/>
      <c r="BD2" s="111"/>
      <c r="BE2" s="111"/>
      <c r="BF2" s="111"/>
      <c r="BG2" s="111"/>
      <c r="BH2" s="111"/>
      <c r="BI2" s="111"/>
    </row>
    <row r="3" ht="22.5" customHeight="1">
      <c r="A3" s="109">
        <v>46260.51823166666</v>
      </c>
      <c r="B3" s="110" t="s">
        <v>280</v>
      </c>
      <c r="C3" s="111">
        <v>8.0</v>
      </c>
      <c r="D3" s="110" t="s">
        <v>381</v>
      </c>
      <c r="E3" s="111">
        <v>9.0</v>
      </c>
      <c r="F3" s="110" t="s">
        <v>382</v>
      </c>
      <c r="G3" s="111">
        <v>10.0</v>
      </c>
      <c r="H3" s="110" t="s">
        <v>383</v>
      </c>
      <c r="I3" s="111">
        <v>10.0</v>
      </c>
      <c r="J3" s="112"/>
      <c r="K3" s="111">
        <v>9.0</v>
      </c>
      <c r="L3" s="112"/>
      <c r="M3" s="110" t="s">
        <v>384</v>
      </c>
      <c r="N3" s="110" t="s">
        <v>280</v>
      </c>
      <c r="O3" s="111">
        <v>10.0</v>
      </c>
      <c r="P3" s="112"/>
      <c r="Q3" s="111">
        <v>9.0</v>
      </c>
      <c r="R3" s="110" t="s">
        <v>385</v>
      </c>
      <c r="S3" s="111">
        <v>9.0</v>
      </c>
      <c r="T3" s="110" t="s">
        <v>386</v>
      </c>
      <c r="U3" s="111">
        <v>10.0</v>
      </c>
      <c r="V3" s="112"/>
      <c r="W3" s="111">
        <v>9.0</v>
      </c>
      <c r="X3" s="112"/>
      <c r="Y3" s="112"/>
      <c r="Z3" s="110" t="s">
        <v>280</v>
      </c>
      <c r="AA3" s="111">
        <v>9.0</v>
      </c>
      <c r="AB3" s="110" t="s">
        <v>387</v>
      </c>
      <c r="AC3" s="111">
        <v>8.0</v>
      </c>
      <c r="AD3" s="112"/>
      <c r="AE3" s="111">
        <v>8.0</v>
      </c>
      <c r="AF3" s="110" t="s">
        <v>388</v>
      </c>
      <c r="AG3" s="111">
        <v>8.0</v>
      </c>
      <c r="AH3" s="110" t="s">
        <v>389</v>
      </c>
      <c r="AI3" s="111">
        <v>7.0</v>
      </c>
      <c r="AJ3" s="112"/>
      <c r="AK3" s="112"/>
      <c r="AL3" s="110" t="s">
        <v>280</v>
      </c>
      <c r="AM3" s="111">
        <v>9.0</v>
      </c>
      <c r="AN3" s="112"/>
      <c r="AO3" s="111">
        <v>10.0</v>
      </c>
      <c r="AP3" s="112"/>
      <c r="AQ3" s="111">
        <v>9.0</v>
      </c>
      <c r="AR3" s="110" t="s">
        <v>390</v>
      </c>
      <c r="AS3" s="111">
        <v>9.0</v>
      </c>
      <c r="AT3" s="110" t="s">
        <v>391</v>
      </c>
      <c r="AU3" s="111">
        <v>10.0</v>
      </c>
      <c r="AV3" s="112"/>
      <c r="AW3" s="110" t="s">
        <v>392</v>
      </c>
      <c r="AX3" s="110" t="s">
        <v>280</v>
      </c>
      <c r="AY3" s="111">
        <v>9.0</v>
      </c>
      <c r="AZ3" s="110" t="s">
        <v>393</v>
      </c>
      <c r="BA3" s="111">
        <v>9.0</v>
      </c>
      <c r="BB3" s="110" t="s">
        <v>394</v>
      </c>
      <c r="BC3" s="111">
        <v>10.0</v>
      </c>
      <c r="BD3" s="112"/>
      <c r="BE3" s="111">
        <v>10.0</v>
      </c>
      <c r="BF3" s="112"/>
      <c r="BG3" s="111">
        <v>10.0</v>
      </c>
      <c r="BH3" s="112"/>
      <c r="BI3" s="112"/>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8.86"/>
    <col customWidth="1" min="3" max="3" width="21.29"/>
    <col customWidth="1" min="4" max="4" width="18.86"/>
    <col customWidth="1" min="5" max="5" width="19.86"/>
    <col customWidth="1" min="6" max="6" width="21.0"/>
    <col customWidth="1" min="7" max="7" width="36.14"/>
    <col customWidth="1" min="8" max="8" width="26.29"/>
    <col customWidth="1" min="9" max="9" width="23.71"/>
    <col customWidth="1" min="10" max="10" width="26.29"/>
    <col customWidth="1" min="11" max="11" width="37.57"/>
    <col customWidth="1" min="12" max="12" width="28.86"/>
    <col customWidth="1" min="13" max="13" width="21.29"/>
    <col customWidth="1" min="14" max="14" width="18.86"/>
    <col customWidth="1" min="15" max="15" width="21.29"/>
    <col customWidth="1" min="16" max="16" width="18.86"/>
    <col customWidth="1" min="17" max="17" width="19.86"/>
    <col customWidth="1" min="18" max="18" width="21.0"/>
    <col customWidth="1" min="19" max="19" width="36.14"/>
    <col customWidth="1" min="20" max="20" width="26.29"/>
    <col customWidth="1" min="21" max="21" width="23.71"/>
    <col customWidth="1" min="22" max="22" width="26.29"/>
    <col customWidth="1" min="23" max="23" width="37.57"/>
    <col customWidth="1" min="24" max="24" width="28.86"/>
    <col customWidth="1" min="25" max="25" width="21.29"/>
    <col customWidth="1" min="26" max="26" width="18.86"/>
    <col customWidth="1" min="27" max="27" width="21.29"/>
    <col customWidth="1" min="28" max="28" width="18.86"/>
    <col customWidth="1" min="29" max="29" width="19.86"/>
    <col customWidth="1" min="30" max="30" width="21.0"/>
    <col customWidth="1" min="31" max="31" width="36.14"/>
    <col customWidth="1" min="32" max="32" width="26.29"/>
    <col customWidth="1" min="33" max="33" width="23.71"/>
    <col customWidth="1" min="34" max="34" width="26.29"/>
    <col customWidth="1" min="35" max="35" width="37.57"/>
    <col customWidth="1" min="36" max="36" width="28.86"/>
    <col customWidth="1" min="37" max="37" width="21.29"/>
    <col customWidth="1" min="38" max="38" width="18.86"/>
    <col customWidth="1" min="39" max="39" width="21.29"/>
    <col customWidth="1" min="40" max="40" width="18.86"/>
    <col customWidth="1" min="41" max="41" width="19.86"/>
    <col customWidth="1" min="42" max="42" width="21.0"/>
    <col customWidth="1" min="43" max="43" width="36.14"/>
    <col customWidth="1" min="44" max="44" width="26.29"/>
    <col customWidth="1" min="45" max="45" width="23.71"/>
    <col customWidth="1" min="46" max="46" width="26.29"/>
    <col customWidth="1" min="47" max="47" width="37.57"/>
    <col customWidth="1" min="48" max="48" width="28.86"/>
    <col customWidth="1" min="49" max="49" width="21.29"/>
    <col customWidth="1" min="50" max="50" width="18.86"/>
    <col customWidth="1" min="51" max="51" width="21.29"/>
    <col customWidth="1" min="52" max="52" width="18.86"/>
    <col customWidth="1" min="53" max="53" width="19.86"/>
    <col customWidth="1" min="54" max="54" width="21.0"/>
    <col customWidth="1" min="55" max="55" width="36.14"/>
    <col customWidth="1" min="56" max="56" width="26.29"/>
    <col customWidth="1" min="57" max="57" width="23.71"/>
    <col customWidth="1" min="58" max="58" width="26.29"/>
    <col customWidth="1" min="59" max="59" width="37.57"/>
    <col customWidth="1" min="60" max="60" width="28.86"/>
    <col customWidth="1" min="61" max="61" width="21.29"/>
  </cols>
  <sheetData>
    <row r="1" ht="22.5" customHeight="1">
      <c r="A1" s="108" t="s">
        <v>5</v>
      </c>
      <c r="B1" s="108" t="s">
        <v>12</v>
      </c>
      <c r="C1" s="108" t="s">
        <v>13</v>
      </c>
      <c r="D1" s="108" t="s">
        <v>14</v>
      </c>
      <c r="E1" s="108" t="s">
        <v>15</v>
      </c>
      <c r="F1" s="108" t="s">
        <v>16</v>
      </c>
      <c r="G1" s="108" t="s">
        <v>17</v>
      </c>
      <c r="H1" s="108" t="s">
        <v>18</v>
      </c>
      <c r="I1" s="108" t="s">
        <v>19</v>
      </c>
      <c r="J1" s="108" t="s">
        <v>20</v>
      </c>
      <c r="K1" s="108" t="s">
        <v>21</v>
      </c>
      <c r="L1" s="108" t="s">
        <v>22</v>
      </c>
      <c r="M1" s="108" t="s">
        <v>23</v>
      </c>
      <c r="N1" s="108" t="s">
        <v>317</v>
      </c>
      <c r="O1" s="108" t="s">
        <v>318</v>
      </c>
      <c r="P1" s="108" t="s">
        <v>319</v>
      </c>
      <c r="Q1" s="108" t="s">
        <v>320</v>
      </c>
      <c r="R1" s="108" t="s">
        <v>321</v>
      </c>
      <c r="S1" s="108" t="s">
        <v>322</v>
      </c>
      <c r="T1" s="108" t="s">
        <v>323</v>
      </c>
      <c r="U1" s="108" t="s">
        <v>324</v>
      </c>
      <c r="V1" s="108" t="s">
        <v>325</v>
      </c>
      <c r="W1" s="108" t="s">
        <v>326</v>
      </c>
      <c r="X1" s="108" t="s">
        <v>327</v>
      </c>
      <c r="Y1" s="108" t="s">
        <v>328</v>
      </c>
      <c r="Z1" s="108" t="s">
        <v>329</v>
      </c>
      <c r="AA1" s="108" t="s">
        <v>330</v>
      </c>
      <c r="AB1" s="108" t="s">
        <v>331</v>
      </c>
      <c r="AC1" s="108" t="s">
        <v>332</v>
      </c>
      <c r="AD1" s="108" t="s">
        <v>333</v>
      </c>
      <c r="AE1" s="108" t="s">
        <v>334</v>
      </c>
      <c r="AF1" s="108" t="s">
        <v>335</v>
      </c>
      <c r="AG1" s="108" t="s">
        <v>336</v>
      </c>
      <c r="AH1" s="108" t="s">
        <v>337</v>
      </c>
      <c r="AI1" s="108" t="s">
        <v>338</v>
      </c>
      <c r="AJ1" s="108" t="s">
        <v>339</v>
      </c>
      <c r="AK1" s="108" t="s">
        <v>340</v>
      </c>
      <c r="AL1" s="108" t="s">
        <v>341</v>
      </c>
      <c r="AM1" s="108" t="s">
        <v>342</v>
      </c>
      <c r="AN1" s="108" t="s">
        <v>343</v>
      </c>
      <c r="AO1" s="108" t="s">
        <v>344</v>
      </c>
      <c r="AP1" s="108" t="s">
        <v>345</v>
      </c>
      <c r="AQ1" s="108" t="s">
        <v>346</v>
      </c>
      <c r="AR1" s="108" t="s">
        <v>347</v>
      </c>
      <c r="AS1" s="108" t="s">
        <v>348</v>
      </c>
      <c r="AT1" s="108" t="s">
        <v>349</v>
      </c>
      <c r="AU1" s="108" t="s">
        <v>350</v>
      </c>
      <c r="AV1" s="108" t="s">
        <v>351</v>
      </c>
      <c r="AW1" s="108" t="s">
        <v>352</v>
      </c>
      <c r="AX1" s="108" t="s">
        <v>353</v>
      </c>
      <c r="AY1" s="108" t="s">
        <v>354</v>
      </c>
      <c r="AZ1" s="108" t="s">
        <v>355</v>
      </c>
      <c r="BA1" s="108" t="s">
        <v>356</v>
      </c>
      <c r="BB1" s="108" t="s">
        <v>357</v>
      </c>
      <c r="BC1" s="108" t="s">
        <v>358</v>
      </c>
      <c r="BD1" s="108" t="s">
        <v>359</v>
      </c>
      <c r="BE1" s="108" t="s">
        <v>360</v>
      </c>
      <c r="BF1" s="108" t="s">
        <v>361</v>
      </c>
      <c r="BG1" s="108" t="s">
        <v>362</v>
      </c>
      <c r="BH1" s="108" t="s">
        <v>363</v>
      </c>
      <c r="BI1" s="108" t="s">
        <v>364</v>
      </c>
    </row>
    <row r="2" ht="22.5" customHeight="1">
      <c r="A2" s="109">
        <v>46258.762942002315</v>
      </c>
      <c r="B2" s="110" t="s">
        <v>281</v>
      </c>
      <c r="C2" s="111">
        <v>1.0</v>
      </c>
      <c r="D2" s="110" t="s">
        <v>395</v>
      </c>
      <c r="E2" s="111">
        <v>1.0</v>
      </c>
      <c r="F2" s="110" t="s">
        <v>396</v>
      </c>
      <c r="G2" s="111">
        <v>1.0</v>
      </c>
      <c r="H2" s="110" t="s">
        <v>397</v>
      </c>
      <c r="I2" s="111">
        <v>1.0</v>
      </c>
      <c r="J2" s="110" t="s">
        <v>398</v>
      </c>
      <c r="K2" s="111">
        <v>1.0</v>
      </c>
      <c r="L2" s="110" t="s">
        <v>399</v>
      </c>
      <c r="M2" s="110" t="s">
        <v>400</v>
      </c>
      <c r="N2" s="110" t="s">
        <v>281</v>
      </c>
      <c r="O2" s="111">
        <v>4.0</v>
      </c>
      <c r="P2" s="110" t="s">
        <v>401</v>
      </c>
      <c r="Q2" s="111">
        <v>4.0</v>
      </c>
      <c r="R2" s="110" t="s">
        <v>402</v>
      </c>
      <c r="S2" s="111">
        <v>10.0</v>
      </c>
      <c r="T2" s="111"/>
      <c r="U2" s="111">
        <v>8.0</v>
      </c>
      <c r="V2" s="111"/>
      <c r="W2" s="111">
        <v>4.0</v>
      </c>
      <c r="X2" s="110" t="s">
        <v>403</v>
      </c>
      <c r="Y2" s="111"/>
      <c r="Z2" s="110" t="s">
        <v>281</v>
      </c>
      <c r="AA2" s="111">
        <v>1.0</v>
      </c>
      <c r="AB2" s="110" t="s">
        <v>404</v>
      </c>
      <c r="AC2" s="111">
        <v>1.0</v>
      </c>
      <c r="AD2" s="110" t="s">
        <v>405</v>
      </c>
      <c r="AE2" s="111">
        <v>1.0</v>
      </c>
      <c r="AF2" s="110" t="s">
        <v>406</v>
      </c>
      <c r="AG2" s="111">
        <v>1.0</v>
      </c>
      <c r="AH2" s="110" t="s">
        <v>407</v>
      </c>
      <c r="AI2" s="111">
        <v>1.0</v>
      </c>
      <c r="AJ2" s="110" t="s">
        <v>408</v>
      </c>
      <c r="AK2" s="110" t="s">
        <v>409</v>
      </c>
      <c r="AL2" s="110" t="s">
        <v>280</v>
      </c>
      <c r="AM2" s="111">
        <v>5.0</v>
      </c>
      <c r="AN2" s="110" t="s">
        <v>410</v>
      </c>
      <c r="AO2" s="111">
        <v>6.0</v>
      </c>
      <c r="AP2" s="110" t="s">
        <v>411</v>
      </c>
      <c r="AQ2" s="111">
        <v>3.0</v>
      </c>
      <c r="AR2" s="110" t="s">
        <v>412</v>
      </c>
      <c r="AS2" s="111">
        <v>6.0</v>
      </c>
      <c r="AT2" s="110" t="s">
        <v>413</v>
      </c>
      <c r="AU2" s="111">
        <v>5.0</v>
      </c>
      <c r="AV2" s="110" t="s">
        <v>414</v>
      </c>
      <c r="AW2" s="111"/>
      <c r="AX2" s="110" t="s">
        <v>280</v>
      </c>
      <c r="AY2" s="111">
        <v>9.0</v>
      </c>
      <c r="AZ2" s="111"/>
      <c r="BA2" s="111">
        <v>10.0</v>
      </c>
      <c r="BB2" s="111"/>
      <c r="BC2" s="111">
        <v>10.0</v>
      </c>
      <c r="BD2" s="111"/>
      <c r="BE2" s="111">
        <v>10.0</v>
      </c>
      <c r="BF2" s="111"/>
      <c r="BG2" s="111">
        <v>10.0</v>
      </c>
      <c r="BH2" s="111"/>
      <c r="BI2" s="111"/>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8.86"/>
    <col customWidth="1" min="3" max="3" width="21.29"/>
    <col customWidth="1" min="4" max="4" width="18.86"/>
    <col customWidth="1" min="5" max="5" width="19.86"/>
    <col customWidth="1" min="6" max="6" width="21.0"/>
    <col customWidth="1" min="7" max="7" width="36.14"/>
    <col customWidth="1" min="8" max="8" width="26.29"/>
    <col customWidth="1" min="9" max="9" width="23.71"/>
    <col customWidth="1" min="10" max="10" width="26.29"/>
    <col customWidth="1" min="11" max="11" width="37.57"/>
    <col customWidth="1" min="12" max="12" width="28.86"/>
    <col customWidth="1" min="13" max="13" width="21.29"/>
    <col customWidth="1" min="14" max="14" width="18.86"/>
    <col customWidth="1" min="15" max="15" width="21.29"/>
    <col customWidth="1" min="16" max="16" width="18.86"/>
    <col customWidth="1" min="17" max="17" width="19.86"/>
    <col customWidth="1" min="18" max="18" width="21.0"/>
    <col customWidth="1" min="19" max="19" width="36.14"/>
    <col customWidth="1" min="20" max="20" width="26.29"/>
    <col customWidth="1" min="21" max="21" width="23.71"/>
    <col customWidth="1" min="22" max="22" width="26.29"/>
    <col customWidth="1" min="23" max="23" width="37.57"/>
    <col customWidth="1" min="24" max="24" width="28.86"/>
    <col customWidth="1" min="25" max="25" width="21.29"/>
    <col customWidth="1" min="26" max="26" width="18.86"/>
    <col customWidth="1" min="27" max="27" width="21.29"/>
    <col customWidth="1" min="28" max="28" width="18.86"/>
    <col customWidth="1" min="29" max="29" width="19.86"/>
    <col customWidth="1" min="30" max="30" width="21.0"/>
    <col customWidth="1" min="31" max="31" width="36.14"/>
    <col customWidth="1" min="32" max="32" width="26.29"/>
    <col customWidth="1" min="33" max="33" width="23.71"/>
    <col customWidth="1" min="34" max="34" width="26.29"/>
    <col customWidth="1" min="35" max="35" width="37.57"/>
    <col customWidth="1" min="36" max="36" width="28.86"/>
    <col customWidth="1" min="37" max="37" width="21.29"/>
    <col customWidth="1" min="38" max="38" width="18.86"/>
    <col customWidth="1" min="39" max="39" width="21.29"/>
    <col customWidth="1" min="40" max="40" width="18.86"/>
    <col customWidth="1" min="41" max="41" width="19.86"/>
    <col customWidth="1" min="42" max="42" width="21.0"/>
    <col customWidth="1" min="43" max="43" width="36.14"/>
    <col customWidth="1" min="44" max="44" width="26.29"/>
    <col customWidth="1" min="45" max="45" width="23.71"/>
    <col customWidth="1" min="46" max="46" width="26.29"/>
    <col customWidth="1" min="47" max="47" width="37.57"/>
    <col customWidth="1" min="48" max="48" width="28.86"/>
    <col customWidth="1" min="49" max="49" width="21.29"/>
    <col customWidth="1" min="50" max="50" width="18.86"/>
    <col customWidth="1" min="51" max="51" width="21.29"/>
    <col customWidth="1" min="52" max="52" width="18.86"/>
    <col customWidth="1" min="53" max="53" width="19.86"/>
    <col customWidth="1" min="54" max="54" width="21.0"/>
    <col customWidth="1" min="55" max="55" width="36.14"/>
    <col customWidth="1" min="56" max="56" width="26.29"/>
    <col customWidth="1" min="57" max="57" width="23.71"/>
    <col customWidth="1" min="58" max="58" width="26.29"/>
    <col customWidth="1" min="59" max="59" width="37.57"/>
    <col customWidth="1" min="60" max="60" width="28.86"/>
    <col customWidth="1" min="61" max="61" width="21.29"/>
  </cols>
  <sheetData>
    <row r="1" ht="22.5" customHeight="1">
      <c r="A1" s="108" t="s">
        <v>5</v>
      </c>
      <c r="B1" s="108" t="s">
        <v>12</v>
      </c>
      <c r="C1" s="108" t="s">
        <v>13</v>
      </c>
      <c r="D1" s="108" t="s">
        <v>14</v>
      </c>
      <c r="E1" s="108" t="s">
        <v>15</v>
      </c>
      <c r="F1" s="108" t="s">
        <v>16</v>
      </c>
      <c r="G1" s="108" t="s">
        <v>17</v>
      </c>
      <c r="H1" s="108" t="s">
        <v>18</v>
      </c>
      <c r="I1" s="108" t="s">
        <v>19</v>
      </c>
      <c r="J1" s="108" t="s">
        <v>20</v>
      </c>
      <c r="K1" s="108" t="s">
        <v>21</v>
      </c>
      <c r="L1" s="108" t="s">
        <v>22</v>
      </c>
      <c r="M1" s="108" t="s">
        <v>23</v>
      </c>
      <c r="N1" s="108" t="s">
        <v>317</v>
      </c>
      <c r="O1" s="108" t="s">
        <v>318</v>
      </c>
      <c r="P1" s="108" t="s">
        <v>319</v>
      </c>
      <c r="Q1" s="108" t="s">
        <v>320</v>
      </c>
      <c r="R1" s="108" t="s">
        <v>321</v>
      </c>
      <c r="S1" s="108" t="s">
        <v>322</v>
      </c>
      <c r="T1" s="108" t="s">
        <v>323</v>
      </c>
      <c r="U1" s="108" t="s">
        <v>324</v>
      </c>
      <c r="V1" s="108" t="s">
        <v>325</v>
      </c>
      <c r="W1" s="108" t="s">
        <v>326</v>
      </c>
      <c r="X1" s="108" t="s">
        <v>327</v>
      </c>
      <c r="Y1" s="108" t="s">
        <v>328</v>
      </c>
      <c r="Z1" s="108" t="s">
        <v>329</v>
      </c>
      <c r="AA1" s="108" t="s">
        <v>330</v>
      </c>
      <c r="AB1" s="108" t="s">
        <v>331</v>
      </c>
      <c r="AC1" s="108" t="s">
        <v>332</v>
      </c>
      <c r="AD1" s="108" t="s">
        <v>333</v>
      </c>
      <c r="AE1" s="108" t="s">
        <v>334</v>
      </c>
      <c r="AF1" s="108" t="s">
        <v>335</v>
      </c>
      <c r="AG1" s="108" t="s">
        <v>336</v>
      </c>
      <c r="AH1" s="108" t="s">
        <v>337</v>
      </c>
      <c r="AI1" s="108" t="s">
        <v>338</v>
      </c>
      <c r="AJ1" s="108" t="s">
        <v>339</v>
      </c>
      <c r="AK1" s="108" t="s">
        <v>340</v>
      </c>
      <c r="AL1" s="108" t="s">
        <v>341</v>
      </c>
      <c r="AM1" s="108" t="s">
        <v>342</v>
      </c>
      <c r="AN1" s="108" t="s">
        <v>343</v>
      </c>
      <c r="AO1" s="108" t="s">
        <v>344</v>
      </c>
      <c r="AP1" s="108" t="s">
        <v>345</v>
      </c>
      <c r="AQ1" s="108" t="s">
        <v>346</v>
      </c>
      <c r="AR1" s="108" t="s">
        <v>347</v>
      </c>
      <c r="AS1" s="108" t="s">
        <v>348</v>
      </c>
      <c r="AT1" s="108" t="s">
        <v>349</v>
      </c>
      <c r="AU1" s="108" t="s">
        <v>350</v>
      </c>
      <c r="AV1" s="108" t="s">
        <v>351</v>
      </c>
      <c r="AW1" s="108" t="s">
        <v>352</v>
      </c>
      <c r="AX1" s="108" t="s">
        <v>353</v>
      </c>
      <c r="AY1" s="108" t="s">
        <v>354</v>
      </c>
      <c r="AZ1" s="108" t="s">
        <v>355</v>
      </c>
      <c r="BA1" s="108" t="s">
        <v>356</v>
      </c>
      <c r="BB1" s="108" t="s">
        <v>357</v>
      </c>
      <c r="BC1" s="108" t="s">
        <v>358</v>
      </c>
      <c r="BD1" s="108" t="s">
        <v>359</v>
      </c>
      <c r="BE1" s="108" t="s">
        <v>360</v>
      </c>
      <c r="BF1" s="108" t="s">
        <v>361</v>
      </c>
      <c r="BG1" s="108" t="s">
        <v>362</v>
      </c>
      <c r="BH1" s="108" t="s">
        <v>363</v>
      </c>
      <c r="BI1" s="108" t="s">
        <v>364</v>
      </c>
    </row>
    <row r="2" ht="22.5" customHeight="1">
      <c r="A2" s="109">
        <v>46258.514210497684</v>
      </c>
      <c r="B2" s="110" t="s">
        <v>280</v>
      </c>
      <c r="C2" s="111">
        <v>9.0</v>
      </c>
      <c r="D2" s="111"/>
      <c r="E2" s="111">
        <v>9.0</v>
      </c>
      <c r="F2" s="111"/>
      <c r="G2" s="111">
        <v>9.0</v>
      </c>
      <c r="H2" s="111"/>
      <c r="I2" s="111"/>
      <c r="J2" s="111"/>
      <c r="K2" s="111"/>
      <c r="L2" s="110" t="s">
        <v>415</v>
      </c>
      <c r="M2" s="111"/>
      <c r="N2" s="110" t="s">
        <v>280</v>
      </c>
      <c r="O2" s="111">
        <v>9.0</v>
      </c>
      <c r="P2" s="111"/>
      <c r="Q2" s="111">
        <v>9.0</v>
      </c>
      <c r="R2" s="111"/>
      <c r="S2" s="111">
        <v>10.0</v>
      </c>
      <c r="T2" s="111"/>
      <c r="U2" s="111">
        <v>7.0</v>
      </c>
      <c r="V2" s="110" t="s">
        <v>416</v>
      </c>
      <c r="W2" s="111">
        <v>9.0</v>
      </c>
      <c r="X2" s="111"/>
      <c r="Y2" s="111"/>
      <c r="Z2" s="110" t="s">
        <v>280</v>
      </c>
      <c r="AA2" s="111">
        <v>9.0</v>
      </c>
      <c r="AB2" s="111"/>
      <c r="AC2" s="111">
        <v>9.0</v>
      </c>
      <c r="AD2" s="111"/>
      <c r="AE2" s="111">
        <v>9.0</v>
      </c>
      <c r="AF2" s="111"/>
      <c r="AG2" s="111">
        <v>9.0</v>
      </c>
      <c r="AH2" s="111"/>
      <c r="AI2" s="111">
        <v>9.0</v>
      </c>
      <c r="AJ2" s="111"/>
      <c r="AK2" s="111"/>
      <c r="AL2" s="110" t="s">
        <v>280</v>
      </c>
      <c r="AM2" s="111">
        <v>8.0</v>
      </c>
      <c r="AN2" s="111"/>
      <c r="AO2" s="111">
        <v>6.0</v>
      </c>
      <c r="AP2" s="110" t="s">
        <v>417</v>
      </c>
      <c r="AQ2" s="111">
        <v>7.0</v>
      </c>
      <c r="AR2" s="110" t="s">
        <v>418</v>
      </c>
      <c r="AS2" s="111">
        <v>8.0</v>
      </c>
      <c r="AT2" s="111"/>
      <c r="AU2" s="111">
        <v>6.0</v>
      </c>
      <c r="AV2" s="111"/>
      <c r="AW2" s="111"/>
      <c r="AX2" s="110" t="s">
        <v>280</v>
      </c>
      <c r="AY2" s="111">
        <v>9.0</v>
      </c>
      <c r="AZ2" s="111"/>
      <c r="BA2" s="111">
        <v>9.0</v>
      </c>
      <c r="BB2" s="110" t="s">
        <v>419</v>
      </c>
      <c r="BC2" s="111">
        <v>9.0</v>
      </c>
      <c r="BD2" s="111"/>
      <c r="BE2" s="111">
        <v>9.0</v>
      </c>
      <c r="BF2" s="111"/>
      <c r="BG2" s="111">
        <v>7.0</v>
      </c>
      <c r="BH2" s="111"/>
      <c r="BI2" s="111"/>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1" width="18.86"/>
  </cols>
  <sheetData>
    <row r="1" ht="22.5" customHeight="1">
      <c r="A1" s="108" t="s">
        <v>5</v>
      </c>
      <c r="B1" s="108" t="s">
        <v>12</v>
      </c>
      <c r="C1" s="108" t="s">
        <v>13</v>
      </c>
      <c r="D1" s="108" t="s">
        <v>14</v>
      </c>
      <c r="E1" s="108" t="s">
        <v>15</v>
      </c>
      <c r="F1" s="108" t="s">
        <v>16</v>
      </c>
      <c r="G1" s="108" t="s">
        <v>17</v>
      </c>
      <c r="H1" s="108" t="s">
        <v>18</v>
      </c>
      <c r="I1" s="108" t="s">
        <v>19</v>
      </c>
      <c r="J1" s="108" t="s">
        <v>20</v>
      </c>
      <c r="K1" s="108" t="s">
        <v>21</v>
      </c>
      <c r="L1" s="108" t="s">
        <v>22</v>
      </c>
      <c r="M1" s="108" t="s">
        <v>23</v>
      </c>
      <c r="N1" s="108" t="s">
        <v>317</v>
      </c>
      <c r="O1" s="108" t="s">
        <v>318</v>
      </c>
      <c r="P1" s="108" t="s">
        <v>319</v>
      </c>
      <c r="Q1" s="108" t="s">
        <v>320</v>
      </c>
      <c r="R1" s="108" t="s">
        <v>321</v>
      </c>
      <c r="S1" s="108" t="s">
        <v>322</v>
      </c>
      <c r="T1" s="108" t="s">
        <v>323</v>
      </c>
      <c r="U1" s="108" t="s">
        <v>324</v>
      </c>
      <c r="V1" s="108" t="s">
        <v>325</v>
      </c>
      <c r="W1" s="108" t="s">
        <v>326</v>
      </c>
      <c r="X1" s="108" t="s">
        <v>327</v>
      </c>
      <c r="Y1" s="108" t="s">
        <v>328</v>
      </c>
      <c r="Z1" s="108" t="s">
        <v>329</v>
      </c>
      <c r="AA1" s="108" t="s">
        <v>330</v>
      </c>
      <c r="AB1" s="108" t="s">
        <v>331</v>
      </c>
      <c r="AC1" s="108" t="s">
        <v>332</v>
      </c>
      <c r="AD1" s="108" t="s">
        <v>333</v>
      </c>
      <c r="AE1" s="108" t="s">
        <v>334</v>
      </c>
      <c r="AF1" s="108" t="s">
        <v>335</v>
      </c>
      <c r="AG1" s="108" t="s">
        <v>336</v>
      </c>
      <c r="AH1" s="108" t="s">
        <v>337</v>
      </c>
      <c r="AI1" s="108" t="s">
        <v>338</v>
      </c>
      <c r="AJ1" s="108" t="s">
        <v>339</v>
      </c>
      <c r="AK1" s="108" t="s">
        <v>340</v>
      </c>
      <c r="AL1" s="108" t="s">
        <v>341</v>
      </c>
      <c r="AM1" s="108" t="s">
        <v>342</v>
      </c>
      <c r="AN1" s="108" t="s">
        <v>343</v>
      </c>
      <c r="AO1" s="108" t="s">
        <v>344</v>
      </c>
      <c r="AP1" s="108" t="s">
        <v>345</v>
      </c>
      <c r="AQ1" s="108" t="s">
        <v>346</v>
      </c>
      <c r="AR1" s="108" t="s">
        <v>347</v>
      </c>
      <c r="AS1" s="108" t="s">
        <v>348</v>
      </c>
      <c r="AT1" s="108" t="s">
        <v>349</v>
      </c>
      <c r="AU1" s="108" t="s">
        <v>350</v>
      </c>
      <c r="AV1" s="108" t="s">
        <v>351</v>
      </c>
      <c r="AW1" s="108" t="s">
        <v>352</v>
      </c>
      <c r="AX1" s="108" t="s">
        <v>353</v>
      </c>
      <c r="AY1" s="108" t="s">
        <v>354</v>
      </c>
      <c r="AZ1" s="108" t="s">
        <v>355</v>
      </c>
      <c r="BA1" s="108" t="s">
        <v>356</v>
      </c>
      <c r="BB1" s="108" t="s">
        <v>357</v>
      </c>
      <c r="BC1" s="108" t="s">
        <v>358</v>
      </c>
      <c r="BD1" s="108" t="s">
        <v>359</v>
      </c>
      <c r="BE1" s="108" t="s">
        <v>360</v>
      </c>
      <c r="BF1" s="108" t="s">
        <v>361</v>
      </c>
      <c r="BG1" s="108" t="s">
        <v>362</v>
      </c>
      <c r="BH1" s="108" t="s">
        <v>363</v>
      </c>
      <c r="BI1" s="108" t="s">
        <v>364</v>
      </c>
    </row>
    <row r="2" ht="22.5" customHeight="1">
      <c r="A2" s="109"/>
      <c r="B2" s="111"/>
      <c r="C2" s="111"/>
      <c r="D2" s="111"/>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c r="AY2" s="111"/>
      <c r="AZ2" s="111"/>
      <c r="BA2" s="111"/>
      <c r="BB2" s="111"/>
      <c r="BC2" s="111"/>
      <c r="BD2" s="111"/>
      <c r="BE2" s="111"/>
      <c r="BF2" s="111"/>
      <c r="BG2" s="111"/>
      <c r="BH2" s="111"/>
      <c r="BI2" s="111"/>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1" width="12.57"/>
  </cols>
  <sheetData>
    <row r="1" ht="15.75" customHeight="1">
      <c r="A1" s="53" t="s">
        <v>0</v>
      </c>
      <c r="B1" s="17" t="s">
        <v>1</v>
      </c>
      <c r="C1" s="17" t="s">
        <v>2</v>
      </c>
      <c r="D1" s="17" t="s">
        <v>10</v>
      </c>
      <c r="E1" s="17" t="s">
        <v>227</v>
      </c>
      <c r="F1" s="53"/>
      <c r="G1" s="53"/>
      <c r="H1" s="53"/>
    </row>
    <row r="2" ht="15.75" customHeight="1">
      <c r="A2" s="53" t="s">
        <v>229</v>
      </c>
      <c r="B2" s="17" t="s">
        <v>230</v>
      </c>
      <c r="C2" s="17" t="s">
        <v>179</v>
      </c>
      <c r="D2" s="17" t="s">
        <v>186</v>
      </c>
      <c r="E2" s="17" t="s">
        <v>187</v>
      </c>
      <c r="F2" s="53"/>
    </row>
    <row r="3" ht="15.75" customHeight="1">
      <c r="A3" s="53" t="s">
        <v>231</v>
      </c>
      <c r="B3" s="17" t="s">
        <v>230</v>
      </c>
      <c r="C3" s="17" t="s">
        <v>154</v>
      </c>
      <c r="D3" s="17" t="s">
        <v>155</v>
      </c>
      <c r="E3" s="17" t="s">
        <v>156</v>
      </c>
      <c r="F3" s="53"/>
    </row>
    <row r="4" ht="15.75" customHeight="1">
      <c r="A4" s="53" t="s">
        <v>232</v>
      </c>
      <c r="B4" s="17" t="s">
        <v>230</v>
      </c>
      <c r="C4" s="17" t="s">
        <v>112</v>
      </c>
      <c r="D4" s="17" t="s">
        <v>117</v>
      </c>
      <c r="E4" s="17" t="s">
        <v>114</v>
      </c>
      <c r="F4" s="53"/>
    </row>
    <row r="5" ht="15.75" customHeight="1">
      <c r="A5" s="53" t="s">
        <v>233</v>
      </c>
      <c r="B5" s="17" t="s">
        <v>230</v>
      </c>
      <c r="C5" s="17" t="s">
        <v>144</v>
      </c>
      <c r="D5" s="17" t="s">
        <v>145</v>
      </c>
      <c r="E5" s="17" t="s">
        <v>146</v>
      </c>
      <c r="F5" s="53"/>
    </row>
    <row r="6" ht="15.75" customHeight="1">
      <c r="A6" s="53" t="s">
        <v>234</v>
      </c>
      <c r="B6" s="17" t="s">
        <v>230</v>
      </c>
      <c r="C6" s="17" t="s">
        <v>40</v>
      </c>
      <c r="D6" s="17" t="s">
        <v>45</v>
      </c>
      <c r="E6" s="17" t="s">
        <v>46</v>
      </c>
      <c r="F6" s="53"/>
    </row>
    <row r="7" ht="15.75" customHeight="1">
      <c r="A7" s="53" t="s">
        <v>24</v>
      </c>
      <c r="B7" s="17" t="s">
        <v>25</v>
      </c>
      <c r="C7" s="17" t="s">
        <v>26</v>
      </c>
      <c r="D7" s="17" t="s">
        <v>31</v>
      </c>
      <c r="E7" s="17" t="s">
        <v>28</v>
      </c>
      <c r="F7" s="53"/>
    </row>
    <row r="8" ht="36.0" customHeight="1">
      <c r="A8" s="53" t="s">
        <v>32</v>
      </c>
      <c r="B8" s="17" t="s">
        <v>25</v>
      </c>
      <c r="C8" s="17" t="s">
        <v>33</v>
      </c>
      <c r="D8" s="17" t="s">
        <v>38</v>
      </c>
      <c r="E8" s="17" t="s">
        <v>35</v>
      </c>
      <c r="F8" s="53"/>
    </row>
    <row r="9" ht="15.75" customHeight="1">
      <c r="A9" s="53" t="s">
        <v>236</v>
      </c>
      <c r="B9" s="17" t="s">
        <v>25</v>
      </c>
      <c r="C9" s="17" t="s">
        <v>127</v>
      </c>
      <c r="D9" s="17" t="s">
        <v>128</v>
      </c>
      <c r="E9" s="17" t="s">
        <v>132</v>
      </c>
      <c r="F9" s="53"/>
    </row>
    <row r="10" ht="15.75" customHeight="1">
      <c r="A10" s="53" t="s">
        <v>39</v>
      </c>
      <c r="B10" s="17" t="s">
        <v>25</v>
      </c>
      <c r="C10" s="17" t="s">
        <v>40</v>
      </c>
      <c r="D10" s="17" t="s">
        <v>45</v>
      </c>
      <c r="E10" s="17" t="s">
        <v>46</v>
      </c>
      <c r="F10" s="53"/>
    </row>
    <row r="11" ht="15.75" customHeight="1">
      <c r="A11" s="53" t="s">
        <v>47</v>
      </c>
      <c r="B11" s="17" t="s">
        <v>25</v>
      </c>
      <c r="C11" s="17" t="s">
        <v>48</v>
      </c>
      <c r="D11" s="17" t="s">
        <v>53</v>
      </c>
      <c r="E11" s="17" t="s">
        <v>50</v>
      </c>
      <c r="F11" s="53"/>
    </row>
    <row r="12" ht="39.0" customHeight="1">
      <c r="A12" s="53" t="s">
        <v>54</v>
      </c>
      <c r="B12" s="17" t="s">
        <v>91</v>
      </c>
      <c r="C12" s="17" t="s">
        <v>56</v>
      </c>
      <c r="D12" s="17" t="s">
        <v>61</v>
      </c>
      <c r="E12" s="17" t="s">
        <v>62</v>
      </c>
      <c r="F12" s="53"/>
    </row>
    <row r="13" ht="42.75" customHeight="1">
      <c r="A13" s="53" t="s">
        <v>63</v>
      </c>
      <c r="B13" s="17" t="s">
        <v>91</v>
      </c>
      <c r="C13" s="17" t="s">
        <v>65</v>
      </c>
      <c r="D13" s="17" t="s">
        <v>70</v>
      </c>
      <c r="E13" s="17" t="s">
        <v>71</v>
      </c>
      <c r="F13" s="53"/>
    </row>
    <row r="14" ht="38.25" customHeight="1">
      <c r="A14" s="53" t="s">
        <v>72</v>
      </c>
      <c r="B14" s="17" t="s">
        <v>91</v>
      </c>
      <c r="C14" s="17" t="s">
        <v>74</v>
      </c>
      <c r="D14" s="17" t="s">
        <v>79</v>
      </c>
      <c r="E14" s="17" t="s">
        <v>80</v>
      </c>
      <c r="F14" s="53"/>
    </row>
    <row r="15" ht="41.25" customHeight="1">
      <c r="A15" s="53" t="s">
        <v>81</v>
      </c>
      <c r="B15" s="17" t="s">
        <v>91</v>
      </c>
      <c r="C15" s="17" t="s">
        <v>83</v>
      </c>
      <c r="D15" s="17" t="s">
        <v>88</v>
      </c>
      <c r="E15" s="17" t="s">
        <v>89</v>
      </c>
      <c r="F15" s="53"/>
    </row>
    <row r="16" ht="15.75" customHeight="1">
      <c r="A16" s="53" t="s">
        <v>90</v>
      </c>
      <c r="B16" s="17" t="s">
        <v>91</v>
      </c>
      <c r="C16" s="17" t="s">
        <v>92</v>
      </c>
      <c r="D16" s="17" t="s">
        <v>93</v>
      </c>
      <c r="E16" s="17" t="s">
        <v>94</v>
      </c>
      <c r="F16" s="53"/>
    </row>
    <row r="17" ht="42.0" customHeight="1">
      <c r="A17" s="53" t="s">
        <v>96</v>
      </c>
      <c r="B17" s="17" t="s">
        <v>97</v>
      </c>
      <c r="C17" s="17" t="s">
        <v>98</v>
      </c>
      <c r="D17" s="113" t="s">
        <v>103</v>
      </c>
      <c r="E17" s="114" t="s">
        <v>100</v>
      </c>
      <c r="F17" s="53"/>
    </row>
    <row r="18" ht="15.75" customHeight="1">
      <c r="A18" s="53" t="s">
        <v>238</v>
      </c>
      <c r="B18" s="17" t="s">
        <v>97</v>
      </c>
      <c r="C18" s="17" t="s">
        <v>159</v>
      </c>
      <c r="D18" s="17" t="s">
        <v>166</v>
      </c>
      <c r="E18" s="17" t="s">
        <v>167</v>
      </c>
      <c r="F18" s="53"/>
    </row>
    <row r="19" ht="30.0" customHeight="1">
      <c r="A19" s="53" t="s">
        <v>104</v>
      </c>
      <c r="B19" s="17" t="s">
        <v>97</v>
      </c>
      <c r="C19" s="17" t="s">
        <v>105</v>
      </c>
      <c r="D19" s="17" t="s">
        <v>110</v>
      </c>
      <c r="E19" s="17" t="s">
        <v>107</v>
      </c>
      <c r="F19" s="53"/>
    </row>
    <row r="20" ht="15.75" customHeight="1">
      <c r="A20" s="53" t="s">
        <v>111</v>
      </c>
      <c r="B20" s="17" t="s">
        <v>97</v>
      </c>
      <c r="C20" s="17" t="s">
        <v>112</v>
      </c>
      <c r="D20" s="17" t="s">
        <v>117</v>
      </c>
      <c r="E20" s="17" t="s">
        <v>114</v>
      </c>
      <c r="F20" s="53"/>
    </row>
    <row r="21" ht="35.25" customHeight="1">
      <c r="A21" s="53" t="s">
        <v>118</v>
      </c>
      <c r="B21" s="17" t="s">
        <v>97</v>
      </c>
      <c r="C21" s="17" t="s">
        <v>119</v>
      </c>
      <c r="D21" s="17" t="s">
        <v>124</v>
      </c>
      <c r="E21" s="17" t="s">
        <v>121</v>
      </c>
      <c r="F21" s="53"/>
    </row>
    <row r="22" ht="23.25" customHeight="1">
      <c r="A22" s="53" t="s">
        <v>239</v>
      </c>
      <c r="B22" s="17" t="s">
        <v>207</v>
      </c>
      <c r="C22" s="17" t="s">
        <v>26</v>
      </c>
      <c r="D22" s="17" t="s">
        <v>31</v>
      </c>
      <c r="E22" s="17" t="s">
        <v>28</v>
      </c>
      <c r="F22" s="53"/>
    </row>
    <row r="23" ht="33.0" customHeight="1">
      <c r="A23" s="53" t="s">
        <v>197</v>
      </c>
      <c r="B23" s="17" t="s">
        <v>207</v>
      </c>
      <c r="C23" s="17" t="s">
        <v>56</v>
      </c>
      <c r="D23" s="17" t="s">
        <v>61</v>
      </c>
      <c r="E23" s="17" t="s">
        <v>62</v>
      </c>
      <c r="F23" s="53"/>
    </row>
    <row r="24" ht="37.5" customHeight="1">
      <c r="A24" s="53" t="s">
        <v>241</v>
      </c>
      <c r="B24" s="17" t="s">
        <v>207</v>
      </c>
      <c r="C24" s="17" t="s">
        <v>190</v>
      </c>
      <c r="D24" s="17" t="s">
        <v>191</v>
      </c>
      <c r="E24" s="17" t="s">
        <v>192</v>
      </c>
      <c r="F24" s="53"/>
    </row>
    <row r="25" ht="36.0" customHeight="1">
      <c r="A25" s="53" t="s">
        <v>243</v>
      </c>
      <c r="B25" s="17" t="s">
        <v>207</v>
      </c>
      <c r="C25" s="17" t="s">
        <v>194</v>
      </c>
      <c r="D25" s="17" t="s">
        <v>195</v>
      </c>
      <c r="E25" s="17" t="s">
        <v>196</v>
      </c>
      <c r="F25" s="53"/>
    </row>
    <row r="26" ht="53.25" customHeight="1">
      <c r="A26" s="53" t="s">
        <v>246</v>
      </c>
      <c r="B26" s="17" t="s">
        <v>207</v>
      </c>
      <c r="C26" s="17" t="s">
        <v>208</v>
      </c>
      <c r="D26" s="17" t="s">
        <v>244</v>
      </c>
      <c r="E26" s="17" t="s">
        <v>245</v>
      </c>
      <c r="F26" s="53"/>
    </row>
    <row r="27" ht="28.5" customHeight="1">
      <c r="A27" s="53" t="s">
        <v>247</v>
      </c>
      <c r="B27" s="17" t="s">
        <v>198</v>
      </c>
      <c r="C27" s="17" t="s">
        <v>105</v>
      </c>
      <c r="D27" s="17" t="s">
        <v>110</v>
      </c>
      <c r="E27" s="17" t="s">
        <v>107</v>
      </c>
      <c r="F27" s="53"/>
    </row>
    <row r="28" ht="36.75" customHeight="1">
      <c r="A28" s="53" t="s">
        <v>125</v>
      </c>
      <c r="B28" s="17" t="s">
        <v>198</v>
      </c>
      <c r="C28" s="17" t="s">
        <v>199</v>
      </c>
      <c r="D28" s="17" t="s">
        <v>240</v>
      </c>
      <c r="E28" s="17" t="s">
        <v>107</v>
      </c>
      <c r="F28" s="53"/>
    </row>
    <row r="29" ht="15.75" customHeight="1">
      <c r="A29" s="53" t="s">
        <v>133</v>
      </c>
      <c r="B29" s="17" t="s">
        <v>198</v>
      </c>
      <c r="C29" s="17" t="s">
        <v>149</v>
      </c>
      <c r="D29" s="17" t="s">
        <v>242</v>
      </c>
      <c r="E29" s="17" t="s">
        <v>151</v>
      </c>
      <c r="F29" s="53"/>
    </row>
    <row r="30" ht="21.0" customHeight="1">
      <c r="A30" s="53" t="s">
        <v>143</v>
      </c>
      <c r="B30" s="17" t="s">
        <v>198</v>
      </c>
      <c r="C30" s="17" t="s">
        <v>208</v>
      </c>
      <c r="D30" s="17" t="s">
        <v>244</v>
      </c>
      <c r="E30" s="17" t="s">
        <v>245</v>
      </c>
      <c r="F30" s="53"/>
    </row>
    <row r="31" ht="15.75" customHeight="1">
      <c r="A31" s="53" t="s">
        <v>148</v>
      </c>
      <c r="B31" s="17" t="s">
        <v>198</v>
      </c>
      <c r="C31" s="17" t="s">
        <v>48</v>
      </c>
      <c r="D31" s="17" t="s">
        <v>53</v>
      </c>
      <c r="E31" s="17" t="s">
        <v>50</v>
      </c>
      <c r="F31" s="53"/>
    </row>
    <row r="32" ht="15.75" customHeight="1">
      <c r="A32" s="53" t="s">
        <v>250</v>
      </c>
      <c r="B32" s="17" t="s">
        <v>126</v>
      </c>
      <c r="C32" s="17" t="s">
        <v>169</v>
      </c>
      <c r="D32" s="17" t="s">
        <v>176</v>
      </c>
      <c r="E32" s="17" t="s">
        <v>171</v>
      </c>
      <c r="F32" s="53"/>
    </row>
    <row r="33" ht="15.75" customHeight="1">
      <c r="A33" s="53" t="s">
        <v>252</v>
      </c>
      <c r="B33" s="17" t="s">
        <v>126</v>
      </c>
      <c r="C33" s="17" t="s">
        <v>127</v>
      </c>
      <c r="D33" s="17" t="s">
        <v>128</v>
      </c>
      <c r="E33" s="17" t="s">
        <v>132</v>
      </c>
      <c r="F33" s="53"/>
    </row>
    <row r="34" ht="76.5" customHeight="1">
      <c r="A34" s="53" t="s">
        <v>253</v>
      </c>
      <c r="B34" s="17" t="s">
        <v>126</v>
      </c>
      <c r="C34" s="17" t="s">
        <v>135</v>
      </c>
      <c r="D34" s="17" t="s">
        <v>141</v>
      </c>
      <c r="E34" s="17" t="s">
        <v>142</v>
      </c>
      <c r="F34" s="53"/>
    </row>
    <row r="35" ht="15.75" customHeight="1">
      <c r="A35" s="53" t="s">
        <v>254</v>
      </c>
      <c r="B35" s="17" t="s">
        <v>126</v>
      </c>
      <c r="C35" s="17" t="s">
        <v>144</v>
      </c>
      <c r="D35" s="17" t="s">
        <v>145</v>
      </c>
      <c r="E35" s="17" t="s">
        <v>146</v>
      </c>
      <c r="F35" s="53"/>
    </row>
    <row r="36" ht="15.75" customHeight="1">
      <c r="A36" s="53" t="s">
        <v>256</v>
      </c>
      <c r="B36" s="17" t="s">
        <v>126</v>
      </c>
      <c r="C36" s="17" t="s">
        <v>149</v>
      </c>
      <c r="D36" s="17" t="s">
        <v>150</v>
      </c>
      <c r="E36" s="17" t="s">
        <v>151</v>
      </c>
      <c r="F36" s="53"/>
    </row>
    <row r="37" ht="33.75" customHeight="1">
      <c r="A37" s="53" t="s">
        <v>152</v>
      </c>
      <c r="B37" s="17" t="s">
        <v>189</v>
      </c>
      <c r="C37" s="17" t="s">
        <v>179</v>
      </c>
      <c r="D37" s="17" t="s">
        <v>186</v>
      </c>
      <c r="E37" s="17" t="s">
        <v>187</v>
      </c>
      <c r="F37" s="53"/>
    </row>
    <row r="38" ht="33.75" customHeight="1">
      <c r="A38" s="53" t="s">
        <v>157</v>
      </c>
      <c r="B38" s="17" t="s">
        <v>189</v>
      </c>
      <c r="C38" s="17" t="s">
        <v>98</v>
      </c>
      <c r="D38" s="17" t="s">
        <v>103</v>
      </c>
      <c r="E38" s="17" t="s">
        <v>100</v>
      </c>
      <c r="F38" s="53"/>
    </row>
    <row r="39" ht="15.75" customHeight="1">
      <c r="A39" s="53" t="s">
        <v>168</v>
      </c>
      <c r="B39" s="17" t="s">
        <v>189</v>
      </c>
      <c r="C39" s="17" t="s">
        <v>65</v>
      </c>
      <c r="D39" s="17" t="s">
        <v>70</v>
      </c>
      <c r="E39" s="17" t="s">
        <v>71</v>
      </c>
      <c r="F39" s="53"/>
    </row>
    <row r="40" ht="15.75" customHeight="1">
      <c r="A40" s="53" t="s">
        <v>257</v>
      </c>
      <c r="B40" s="17" t="s">
        <v>189</v>
      </c>
      <c r="C40" s="17" t="s">
        <v>190</v>
      </c>
      <c r="D40" s="17" t="s">
        <v>191</v>
      </c>
      <c r="E40" s="17" t="s">
        <v>192</v>
      </c>
      <c r="F40" s="53"/>
    </row>
    <row r="41" ht="15.75" customHeight="1">
      <c r="A41" s="53" t="s">
        <v>258</v>
      </c>
      <c r="B41" s="17" t="s">
        <v>189</v>
      </c>
      <c r="C41" s="17" t="s">
        <v>194</v>
      </c>
      <c r="D41" s="17" t="s">
        <v>195</v>
      </c>
      <c r="E41" s="17" t="s">
        <v>196</v>
      </c>
      <c r="F41" s="53"/>
    </row>
    <row r="42" ht="15.75" customHeight="1">
      <c r="A42" s="53" t="s">
        <v>177</v>
      </c>
      <c r="B42" s="17" t="s">
        <v>153</v>
      </c>
      <c r="C42" s="17" t="s">
        <v>154</v>
      </c>
      <c r="D42" s="17" t="s">
        <v>155</v>
      </c>
      <c r="E42" s="17" t="s">
        <v>156</v>
      </c>
      <c r="F42" s="53"/>
    </row>
    <row r="43" ht="15.75" customHeight="1">
      <c r="A43" s="53" t="s">
        <v>259</v>
      </c>
      <c r="B43" s="17" t="s">
        <v>153</v>
      </c>
      <c r="C43" s="17" t="s">
        <v>159</v>
      </c>
      <c r="D43" s="17" t="s">
        <v>166</v>
      </c>
      <c r="E43" s="17" t="s">
        <v>167</v>
      </c>
      <c r="F43" s="53"/>
    </row>
    <row r="44" ht="15.75" customHeight="1">
      <c r="A44" s="53" t="s">
        <v>260</v>
      </c>
      <c r="B44" s="17" t="s">
        <v>153</v>
      </c>
      <c r="C44" s="17" t="s">
        <v>169</v>
      </c>
      <c r="D44" s="17" t="s">
        <v>176</v>
      </c>
      <c r="E44" s="17" t="s">
        <v>171</v>
      </c>
      <c r="F44" s="53"/>
    </row>
    <row r="45" ht="28.5" customHeight="1">
      <c r="A45" s="53" t="s">
        <v>188</v>
      </c>
      <c r="B45" s="17" t="s">
        <v>153</v>
      </c>
      <c r="C45" s="17" t="s">
        <v>33</v>
      </c>
      <c r="D45" s="17" t="s">
        <v>38</v>
      </c>
      <c r="E45" s="17" t="s">
        <v>35</v>
      </c>
      <c r="F45" s="53"/>
    </row>
    <row r="46" ht="26.25" customHeight="1">
      <c r="A46" s="53" t="s">
        <v>193</v>
      </c>
      <c r="B46" s="17" t="s">
        <v>153</v>
      </c>
      <c r="C46" s="17" t="s">
        <v>74</v>
      </c>
      <c r="D46" s="17" t="s">
        <v>79</v>
      </c>
      <c r="E46" s="17" t="s">
        <v>80</v>
      </c>
      <c r="F46" s="53"/>
    </row>
    <row r="47" ht="35.25" customHeight="1">
      <c r="A47" s="53" t="s">
        <v>261</v>
      </c>
      <c r="B47" s="17" t="s">
        <v>251</v>
      </c>
      <c r="C47" s="17" t="s">
        <v>199</v>
      </c>
      <c r="D47" s="17" t="s">
        <v>240</v>
      </c>
      <c r="E47" s="17" t="s">
        <v>107</v>
      </c>
      <c r="F47" s="53"/>
    </row>
    <row r="48" ht="25.5" customHeight="1">
      <c r="A48" s="53" t="s">
        <v>262</v>
      </c>
      <c r="B48" s="17" t="s">
        <v>251</v>
      </c>
      <c r="C48" s="17" t="s">
        <v>83</v>
      </c>
      <c r="D48" s="17" t="s">
        <v>88</v>
      </c>
      <c r="E48" s="17" t="s">
        <v>89</v>
      </c>
      <c r="F48" s="53"/>
    </row>
    <row r="49" ht="51.0" customHeight="1">
      <c r="A49" s="53" t="s">
        <v>263</v>
      </c>
      <c r="B49" s="17" t="s">
        <v>251</v>
      </c>
      <c r="C49" s="17" t="s">
        <v>135</v>
      </c>
      <c r="D49" s="17" t="s">
        <v>141</v>
      </c>
      <c r="E49" s="17" t="s">
        <v>142</v>
      </c>
      <c r="F49" s="53"/>
    </row>
    <row r="50" ht="15.75" customHeight="1">
      <c r="A50" s="53" t="s">
        <v>264</v>
      </c>
      <c r="B50" s="17" t="s">
        <v>251</v>
      </c>
      <c r="C50" s="17" t="s">
        <v>92</v>
      </c>
      <c r="D50" s="17" t="s">
        <v>255</v>
      </c>
      <c r="E50" s="17" t="s">
        <v>94</v>
      </c>
      <c r="F50" s="53"/>
    </row>
    <row r="51" ht="36.75" customHeight="1">
      <c r="A51" s="53" t="s">
        <v>206</v>
      </c>
      <c r="B51" s="17" t="s">
        <v>251</v>
      </c>
      <c r="C51" s="17" t="s">
        <v>119</v>
      </c>
      <c r="D51" s="17" t="s">
        <v>124</v>
      </c>
      <c r="E51" s="17" t="s">
        <v>121</v>
      </c>
      <c r="F51" s="53"/>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conditionalFormatting sqref="A25:E25 G25:K25">
    <cfRule type="notContainsBlanks" dxfId="0" priority="1">
      <formula>LEN(TRIM(A25))&gt;0</formula>
    </cfRule>
  </conditionalFormatting>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50.57"/>
    <col customWidth="1" min="2" max="11" width="12.57"/>
  </cols>
  <sheetData>
    <row r="1" ht="15.75" customHeight="1">
      <c r="B1" s="17" t="s">
        <v>420</v>
      </c>
      <c r="C1" s="17" t="s">
        <v>421</v>
      </c>
    </row>
    <row r="2" ht="15.75" customHeight="1">
      <c r="A2" s="17" t="s">
        <v>422</v>
      </c>
      <c r="B2" s="53">
        <v>1.0</v>
      </c>
      <c r="C2" s="53">
        <v>3.0</v>
      </c>
    </row>
    <row r="3" ht="15.75" customHeight="1">
      <c r="A3" s="17" t="s">
        <v>423</v>
      </c>
      <c r="B3" s="53">
        <v>1.0</v>
      </c>
      <c r="C3" s="53">
        <v>1.0</v>
      </c>
    </row>
    <row r="4" ht="15.75" customHeight="1">
      <c r="A4" s="115" t="s">
        <v>424</v>
      </c>
      <c r="B4" s="53">
        <v>1.0</v>
      </c>
      <c r="C4" s="53">
        <v>1.0</v>
      </c>
    </row>
    <row r="5" ht="15.75" customHeight="1">
      <c r="A5" s="17" t="s">
        <v>425</v>
      </c>
      <c r="B5" s="53">
        <v>1.0</v>
      </c>
      <c r="C5" s="53">
        <v>1.0</v>
      </c>
    </row>
    <row r="6" ht="15.75" customHeight="1">
      <c r="A6" s="17" t="s">
        <v>426</v>
      </c>
      <c r="B6" s="53">
        <v>1.0</v>
      </c>
      <c r="C6" s="53">
        <v>1.0</v>
      </c>
    </row>
    <row r="7" ht="15.75" customHeight="1">
      <c r="A7" s="17" t="s">
        <v>427</v>
      </c>
      <c r="B7" s="53">
        <v>1.0</v>
      </c>
      <c r="C7" s="53">
        <v>1.0</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Worksheets</vt:lpstr>
      </vt:variant>
      <vt:variant>
        <vt:i4>17</vt:i4>
      </vt:variant>
    </vt:vector>
  </HeadingPairs>
  <TitlesOfParts>
    <vt:vector baseType="lpstr" size="17">
      <vt:lpstr>תשובות_זהב_גרסה1</vt:lpstr>
      <vt:lpstr>שאלות_תשובות_כל_התגובות</vt:lpstr>
      <vt:lpstr>תשובות רונן AI</vt:lpstr>
      <vt:lpstr>טבלת ציר 1</vt:lpstr>
      <vt:lpstr>אנשי קשר</vt:lpstr>
      <vt:lpstr>תגובות לטופס 10 עופר</vt:lpstr>
      <vt:lpstr>תגובות לטופס 9 רוני</vt:lpstr>
      <vt:lpstr>תגובות לטופס 8 מיכאל</vt:lpstr>
      <vt:lpstr>תגובות לטופס 7 קורל</vt:lpstr>
      <vt:lpstr>תגובות לטופס 6 תום</vt:lpstr>
      <vt:lpstr>תגובות לטופס 5 ינון תתר</vt:lpstr>
      <vt:lpstr>תגובות לטופס 4- צליל עמנואל סבר</vt:lpstr>
      <vt:lpstr>תגובות לטופס 3- ניר</vt:lpstr>
      <vt:lpstr>תגובות לטופס 2- לירן יהודאי</vt:lpstr>
      <vt:lpstr>תגובות לטופס 1- בן לסנס</vt:lpstr>
      <vt:lpstr>Questions</vt:lpstr>
      <vt:lpstr>מסקנות</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2026-08-26T10:12:44Z</dcterms:created>
  <dc:creator>DELL008</dc:creator>
  <cp:lastModifiedBy>אלן לופטוחין</cp:lastModifiedBy>
  <dcterms:modified xsi:type="dcterms:W3CDTF">2026-08-31T17:12:24Z</dcterms:modified>
</cp:coreProperties>
</file>